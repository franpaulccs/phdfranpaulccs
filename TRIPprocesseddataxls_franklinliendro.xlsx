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3\OneDrive\Documentos\2025\PHD\4 SEMESTER SEP-ENE\1ST PAPER\Transportation Research Interdisciplinary Perspectives\"/>
    </mc:Choice>
  </mc:AlternateContent>
  <xr:revisionPtr revIDLastSave="0" documentId="13_ncr:1_{12D88CCE-8534-4306-89C7-4361156FC9B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LECCIONADO" sheetId="4" r:id="rId1"/>
    <sheet name="TABLE" sheetId="6" r:id="rId2"/>
    <sheet name="Sheet2" sheetId="9" r:id="rId3"/>
    <sheet name="Sheet3" sheetId="11" r:id="rId4"/>
    <sheet name="Sheet7" sheetId="15" r:id="rId5"/>
    <sheet name="NORMALIZATION" sheetId="7" r:id="rId6"/>
  </sheet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7" l="1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M41" i="7"/>
  <c r="N41" i="7"/>
  <c r="M42" i="7"/>
  <c r="N42" i="7"/>
  <c r="G42" i="7"/>
  <c r="G41" i="7"/>
  <c r="J2" i="7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2" i="4"/>
  <c r="R2" i="4"/>
  <c r="L32" i="7"/>
  <c r="K42" i="7" l="1"/>
  <c r="K41" i="7"/>
  <c r="E41" i="7"/>
  <c r="F41" i="7"/>
  <c r="H41" i="7"/>
  <c r="D4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3" i="7"/>
  <c r="L2" i="7"/>
  <c r="J3" i="7"/>
  <c r="J4" i="7"/>
  <c r="J5" i="7"/>
  <c r="J6" i="7"/>
  <c r="J7" i="7"/>
  <c r="J8" i="7"/>
  <c r="J9" i="7"/>
  <c r="J10" i="7"/>
  <c r="J11" i="7"/>
  <c r="J12" i="7"/>
  <c r="J13" i="7"/>
  <c r="J14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2" i="7"/>
  <c r="R33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P5" i="4"/>
  <c r="P7" i="4"/>
  <c r="P8" i="4"/>
  <c r="P9" i="4"/>
  <c r="P11" i="4"/>
  <c r="P14" i="4"/>
  <c r="P15" i="4"/>
  <c r="P17" i="4"/>
  <c r="P20" i="4"/>
  <c r="P21" i="4"/>
  <c r="P25" i="4"/>
  <c r="P26" i="4"/>
  <c r="P29" i="4"/>
  <c r="P30" i="4"/>
  <c r="P3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2" i="4"/>
  <c r="F24" i="4"/>
  <c r="P24" i="4" s="1"/>
  <c r="F19" i="4"/>
  <c r="P19" i="4" s="1"/>
  <c r="F23" i="4"/>
  <c r="P23" i="4" s="1"/>
  <c r="F12" i="4"/>
  <c r="H12" i="4" s="1"/>
  <c r="H8" i="4"/>
  <c r="H9" i="4"/>
  <c r="H26" i="4"/>
  <c r="H25" i="4"/>
  <c r="H7" i="4"/>
  <c r="H14" i="4"/>
  <c r="H15" i="4"/>
  <c r="H31" i="4"/>
  <c r="H20" i="4"/>
  <c r="H21" i="4"/>
  <c r="H30" i="4"/>
  <c r="H17" i="4"/>
  <c r="H2" i="4"/>
  <c r="H5" i="4"/>
  <c r="H11" i="4"/>
  <c r="H29" i="4"/>
  <c r="F10" i="4"/>
  <c r="H10" i="4" s="1"/>
  <c r="F27" i="4"/>
  <c r="P27" i="4" s="1"/>
  <c r="F28" i="4"/>
  <c r="P28" i="4" s="1"/>
  <c r="F33" i="4"/>
  <c r="H33" i="4" s="1"/>
  <c r="F18" i="4"/>
  <c r="P18" i="4" s="1"/>
  <c r="F32" i="4"/>
  <c r="P32" i="4" s="1"/>
  <c r="F6" i="4"/>
  <c r="H6" i="4" s="1"/>
  <c r="F3" i="4"/>
  <c r="H3" i="4" s="1"/>
  <c r="F13" i="4"/>
  <c r="P13" i="4" s="1"/>
  <c r="F16" i="4"/>
  <c r="H16" i="4" s="1"/>
  <c r="F22" i="4"/>
  <c r="H22" i="4" s="1"/>
  <c r="F4" i="4"/>
  <c r="P4" i="4" s="1"/>
  <c r="K18" i="4"/>
  <c r="W2" i="4"/>
  <c r="U25" i="4"/>
  <c r="P13" i="7" l="1"/>
  <c r="P25" i="7"/>
  <c r="P14" i="7"/>
  <c r="P26" i="7"/>
  <c r="P15" i="7"/>
  <c r="P27" i="7"/>
  <c r="P16" i="7"/>
  <c r="P5" i="7"/>
  <c r="P17" i="7"/>
  <c r="P29" i="7"/>
  <c r="P18" i="7"/>
  <c r="P19" i="7"/>
  <c r="P20" i="7"/>
  <c r="P21" i="7"/>
  <c r="P33" i="7"/>
  <c r="P2" i="7"/>
  <c r="P3" i="7"/>
  <c r="P4" i="7"/>
  <c r="P28" i="7"/>
  <c r="P6" i="7"/>
  <c r="P31" i="7"/>
  <c r="P8" i="7"/>
  <c r="P32" i="7"/>
  <c r="P9" i="7"/>
  <c r="P22" i="7"/>
  <c r="P30" i="7"/>
  <c r="P7" i="7"/>
  <c r="P10" i="7"/>
  <c r="P23" i="7"/>
  <c r="P11" i="7"/>
  <c r="P12" i="7"/>
  <c r="P24" i="7"/>
  <c r="E42" i="7"/>
  <c r="D42" i="7"/>
  <c r="H42" i="7"/>
  <c r="F42" i="7"/>
  <c r="I41" i="7"/>
  <c r="I42" i="7"/>
  <c r="J41" i="7"/>
  <c r="J42" i="7" s="1"/>
  <c r="L41" i="7"/>
  <c r="L42" i="7" s="1"/>
  <c r="Q3" i="7" s="1"/>
  <c r="H19" i="4"/>
  <c r="P22" i="4"/>
  <c r="H23" i="4"/>
  <c r="P16" i="4"/>
  <c r="P12" i="4"/>
  <c r="P10" i="4"/>
  <c r="P33" i="4"/>
  <c r="P6" i="4"/>
  <c r="P3" i="4"/>
  <c r="H24" i="4"/>
  <c r="H27" i="4"/>
  <c r="H13" i="4"/>
  <c r="H18" i="4"/>
  <c r="H4" i="4"/>
  <c r="H32" i="4"/>
  <c r="H28" i="4"/>
  <c r="P41" i="7" l="1"/>
  <c r="P42" i="7"/>
  <c r="M12" i="7"/>
  <c r="N14" i="7"/>
  <c r="M17" i="7"/>
  <c r="M18" i="7"/>
  <c r="N3" i="7"/>
  <c r="M29" i="7"/>
  <c r="M30" i="7"/>
  <c r="Q12" i="7"/>
  <c r="N17" i="7"/>
  <c r="N27" i="7"/>
  <c r="M24" i="7"/>
  <c r="M8" i="7"/>
  <c r="Q14" i="7"/>
  <c r="M20" i="7"/>
  <c r="N9" i="7"/>
  <c r="M32" i="7"/>
  <c r="Q18" i="7"/>
  <c r="M23" i="7"/>
  <c r="N2" i="7"/>
  <c r="Q20" i="7"/>
  <c r="N22" i="7"/>
  <c r="Q31" i="7"/>
  <c r="Q16" i="7"/>
  <c r="N19" i="7"/>
  <c r="N18" i="7"/>
  <c r="M22" i="7"/>
  <c r="N16" i="7"/>
  <c r="Q26" i="7"/>
  <c r="N31" i="7"/>
  <c r="Q8" i="7"/>
  <c r="N11" i="7"/>
  <c r="Q6" i="7"/>
  <c r="Q15" i="7"/>
  <c r="N30" i="7"/>
  <c r="N33" i="7"/>
  <c r="M4" i="7"/>
  <c r="N12" i="7"/>
  <c r="M16" i="7"/>
  <c r="Q10" i="7"/>
  <c r="Q29" i="7"/>
  <c r="M15" i="7"/>
  <c r="M33" i="7"/>
  <c r="M10" i="7"/>
  <c r="Q32" i="7"/>
  <c r="M13" i="7"/>
  <c r="N24" i="7"/>
  <c r="N25" i="7"/>
  <c r="Q22" i="7"/>
  <c r="N10" i="7"/>
  <c r="Q19" i="7"/>
  <c r="Q4" i="7"/>
  <c r="N26" i="7"/>
  <c r="N15" i="7"/>
  <c r="Q24" i="7"/>
  <c r="N7" i="7"/>
  <c r="M7" i="7"/>
  <c r="N4" i="7"/>
  <c r="M2" i="7"/>
  <c r="Q28" i="7"/>
  <c r="Q25" i="7"/>
  <c r="Q27" i="7"/>
  <c r="M5" i="7"/>
  <c r="M6" i="7"/>
  <c r="Q2" i="7"/>
  <c r="M3" i="7"/>
  <c r="O3" i="7" s="1"/>
  <c r="M28" i="7"/>
  <c r="N32" i="7"/>
  <c r="Q13" i="7"/>
  <c r="N8" i="7"/>
  <c r="N28" i="7"/>
  <c r="N21" i="7"/>
  <c r="Q9" i="7"/>
  <c r="N29" i="7"/>
  <c r="Q21" i="7"/>
  <c r="N20" i="7"/>
  <c r="M19" i="7"/>
  <c r="N23" i="7"/>
  <c r="M25" i="7"/>
  <c r="M9" i="7"/>
  <c r="Q30" i="7"/>
  <c r="N6" i="7"/>
  <c r="Q33" i="7"/>
  <c r="Q17" i="7"/>
  <c r="M31" i="7"/>
  <c r="Q11" i="7"/>
  <c r="Q5" i="7"/>
  <c r="M21" i="7"/>
  <c r="M27" i="7"/>
  <c r="M11" i="7"/>
  <c r="N13" i="7"/>
  <c r="M26" i="7"/>
  <c r="N5" i="7"/>
  <c r="Q23" i="7"/>
  <c r="M14" i="7"/>
  <c r="Q7" i="7"/>
  <c r="O7" i="7" l="1"/>
  <c r="O19" i="7"/>
  <c r="O18" i="7"/>
  <c r="O21" i="7"/>
  <c r="O2" i="7"/>
  <c r="O13" i="7"/>
  <c r="O22" i="7"/>
  <c r="O4" i="7"/>
  <c r="O8" i="7"/>
  <c r="O11" i="7"/>
  <c r="O32" i="7"/>
  <c r="O6" i="7"/>
  <c r="O17" i="7"/>
  <c r="O5" i="7"/>
  <c r="O24" i="7"/>
  <c r="O26" i="7"/>
  <c r="O9" i="7"/>
  <c r="O10" i="7"/>
  <c r="O30" i="7"/>
  <c r="O16" i="7"/>
  <c r="O20" i="7"/>
  <c r="O12" i="7"/>
  <c r="O31" i="7"/>
  <c r="O14" i="7"/>
  <c r="O25" i="7"/>
  <c r="O28" i="7"/>
  <c r="O33" i="7"/>
  <c r="Q41" i="7"/>
  <c r="Q42" i="7"/>
  <c r="O23" i="7"/>
  <c r="O29" i="7"/>
  <c r="O27" i="7"/>
  <c r="O15" i="7"/>
  <c r="O41" i="7" l="1"/>
  <c r="O42" i="7"/>
  <c r="Q39" i="7"/>
  <c r="Q44" i="7" s="1"/>
  <c r="Q45" i="7" s="1"/>
  <c r="Q46" i="7" s="1"/>
  <c r="P39" i="7"/>
  <c r="P44" i="7" s="1"/>
  <c r="P45" i="7" s="1"/>
  <c r="P46" i="7" s="1"/>
  <c r="O39" i="7" l="1"/>
  <c r="O44" i="7" s="1"/>
  <c r="O45" i="7" s="1"/>
  <c r="O46" i="7" s="1"/>
</calcChain>
</file>

<file path=xl/sharedStrings.xml><?xml version="1.0" encoding="utf-8"?>
<sst xmlns="http://schemas.openxmlformats.org/spreadsheetml/2006/main" count="478" uniqueCount="143">
  <si>
    <t>Recife</t>
  </si>
  <si>
    <t>-</t>
  </si>
  <si>
    <t xml:space="preserve">Metro - Services - Demand
Passanger/year </t>
  </si>
  <si>
    <t>Fuente</t>
  </si>
  <si>
    <t>https://metro.cdmx.gob.mx/longitud-lineas</t>
  </si>
  <si>
    <t>year metro</t>
  </si>
  <si>
    <t>Metro - Services - Demand
Passanger/day</t>
  </si>
  <si>
    <t>https://www.metro.sp.gov.br/wp-content/uploads/2023/05/relatorio-integrado-2022.pdf</t>
  </si>
  <si>
    <t>https://web.archive.org/web/20190709192307/http://g1.globo.com/rio-de-janeiro/noticia/2016/07/temer-participa-de-inauguracao-da-linha-4-do-metro-no-rio.html</t>
  </si>
  <si>
    <t>https://www.metro.cl/gobierno-corporativo/memoria</t>
  </si>
  <si>
    <t>https://www.metrobh.com.br/institucional/#metro-bh-em-numeros</t>
  </si>
  <si>
    <t>https://lineasdelmetro.com.mx/guadalajara/</t>
  </si>
  <si>
    <t>https://www.metrorecife.com.br/mapa/</t>
  </si>
  <si>
    <t>https://www.ccrmetrobahia.com.br/por-dentro-do-metr%C3%B4/metr%C3%B4-em-n%C3%BAmeros/</t>
  </si>
  <si>
    <t>https://www.trensurb.gov.br/sobre-a-trensurb/historia</t>
  </si>
  <si>
    <t>http://repositoriodigital.uma.edu.ve:8080/jspui/bitstream/123456789/858/1/TEG_EPG1_2018.pdf</t>
  </si>
  <si>
    <t>https://metro.df.gov.br/wp-content/uploads/2023/05/Relatorio_de_Sustentabilidade__2__compactado.pdf</t>
  </si>
  <si>
    <t>147.688,</t>
  </si>
  <si>
    <t>https://issuu.com/metrodequito/docs/01-quitosemueve</t>
  </si>
  <si>
    <t>https://www.elmetrodepanama.com/wp-content/uploads/2024/02/Metro-de-Panama-Memoria-Anual-2023-version-digital-2.pdf</t>
  </si>
  <si>
    <t>Ciudad de Mexico</t>
  </si>
  <si>
    <t>Sao Paulo</t>
  </si>
  <si>
    <t>Buenos Aires</t>
  </si>
  <si>
    <t>Rio de Janeiro</t>
  </si>
  <si>
    <t>Lima</t>
  </si>
  <si>
    <t>Santiago</t>
  </si>
  <si>
    <t>Belo Horizonte</t>
  </si>
  <si>
    <t>Guadalajara</t>
  </si>
  <si>
    <t>Salvador</t>
  </si>
  <si>
    <t>Caracas</t>
  </si>
  <si>
    <t>Brasilia</t>
  </si>
  <si>
    <t>Quito</t>
  </si>
  <si>
    <t>Panama</t>
  </si>
  <si>
    <t>Beijing</t>
  </si>
  <si>
    <t>Guiyang</t>
  </si>
  <si>
    <t xml:space="preserve">	10544000</t>
  </si>
  <si>
    <t>https://www.ceicdata.com/en/china/no-of-employee-prefecture-level-city/no-of-employee-guizhou-guiyang</t>
  </si>
  <si>
    <t>https://www.estadisticaciudad.gob.ar/eyc/?p=46559
https://www.researchgate.net/publication/345811121_Demanda_de_pasajeros_del_Sistema_de_Subterraneos_de_la_Ciudad_Autonoma_de_Buenos_Aires_Evidencia_empirica_de_diferencias_entre_lineas_y_estaciones</t>
  </si>
  <si>
    <t>https://nj.tjj.beijing.gov.cn/nj/main/2021-tjnj/zk/indexeh.htm</t>
  </si>
  <si>
    <t>Daily ridership  in total
(millions/day) - mobility</t>
  </si>
  <si>
    <t>OPENED</t>
  </si>
  <si>
    <t>Shanghai</t>
  </si>
  <si>
    <t>Xian</t>
  </si>
  <si>
    <t>Chengdu</t>
  </si>
  <si>
    <t>Tianjin</t>
  </si>
  <si>
    <t>Changzhou</t>
  </si>
  <si>
    <t>Xiamen</t>
  </si>
  <si>
    <t>Jinan</t>
  </si>
  <si>
    <t>Shaoxing</t>
  </si>
  <si>
    <t>Fuzhou</t>
  </si>
  <si>
    <t>Lanzhou</t>
  </si>
  <si>
    <t>Changsha</t>
  </si>
  <si>
    <t>Foshan</t>
  </si>
  <si>
    <t>Dongguan</t>
  </si>
  <si>
    <t>Urumqi</t>
  </si>
  <si>
    <t>China</t>
  </si>
  <si>
    <t>Brazil</t>
  </si>
  <si>
    <t>México</t>
  </si>
  <si>
    <t>Argentina</t>
  </si>
  <si>
    <t>Perú</t>
  </si>
  <si>
    <t>Chile</t>
  </si>
  <si>
    <t xml:space="preserve">Brazil </t>
  </si>
  <si>
    <t>Ecuador</t>
  </si>
  <si>
    <t>SCALE</t>
  </si>
  <si>
    <t>Medium City</t>
  </si>
  <si>
    <t>Large City</t>
  </si>
  <si>
    <t>Mega city</t>
  </si>
  <si>
    <t>CITY</t>
  </si>
  <si>
    <t>COUNTRY</t>
  </si>
  <si>
    <t>POPULATION
metropolitan area (total people) - socioeconomic</t>
  </si>
  <si>
    <t>AREA
 metropolitan area
(Km2) - socioeconomico</t>
  </si>
  <si>
    <t>DENSITY
 metropolitan area (population/km2) - socioeconomic</t>
  </si>
  <si>
    <t>Venezuela</t>
  </si>
  <si>
    <t>Colombia</t>
  </si>
  <si>
    <t>PROVINCIA</t>
  </si>
  <si>
    <t>Guangdong </t>
  </si>
  <si>
    <t> Fujian</t>
  </si>
  <si>
    <t> Xinjiang </t>
  </si>
  <si>
    <t> Gansu</t>
  </si>
  <si>
    <t> Guangdong </t>
  </si>
  <si>
    <t>Guizhou</t>
  </si>
  <si>
    <t> Zhejiang</t>
  </si>
  <si>
    <t>Shandong</t>
  </si>
  <si>
    <t> Hunan</t>
  </si>
  <si>
    <t>Shaanxi</t>
  </si>
  <si>
    <t>Sichuan</t>
  </si>
  <si>
    <t>Pichincha</t>
  </si>
  <si>
    <t>Federal District</t>
  </si>
  <si>
    <t>Anitoquia</t>
  </si>
  <si>
    <t>Distrito Capital</t>
  </si>
  <si>
    <t>Pernambuco</t>
  </si>
  <si>
    <t>Bahía</t>
  </si>
  <si>
    <t>Rio Grande do Sul</t>
  </si>
  <si>
    <t>Jalisco</t>
  </si>
  <si>
    <t>Minas Gerais</t>
  </si>
  <si>
    <t>Medellin</t>
  </si>
  <si>
    <t xml:space="preserve">Porto Alegre </t>
  </si>
  <si>
    <t>PIB  - GDP MILLIONS
(%) - socioeconomic</t>
  </si>
  <si>
    <t xml:space="preserve">Daily ridership public Transport
(millions/day) - mobility </t>
  </si>
  <si>
    <t>METRO SERV 
LINES (UNID)</t>
  </si>
  <si>
    <t>METRO SERV
STATIONS (UNID)</t>
  </si>
  <si>
    <t>CLISTERING RESULT</t>
  </si>
  <si>
    <t>RELATION 
DENSITY (KM METRO/LAND AREA)</t>
  </si>
  <si>
    <t>RELATION 
METRO EXTENSIVENNESS</t>
  </si>
  <si>
    <t>Row Labels</t>
  </si>
  <si>
    <t>Grand Total</t>
  </si>
  <si>
    <t>Average of POPULATION</t>
  </si>
  <si>
    <t>LATAM</t>
  </si>
  <si>
    <t>CHINA</t>
  </si>
  <si>
    <t>AREA</t>
  </si>
  <si>
    <t>Average of AREA</t>
  </si>
  <si>
    <t>Jiangsu</t>
  </si>
  <si>
    <t>POPULATION</t>
  </si>
  <si>
    <t>CITY LAND AREA</t>
  </si>
  <si>
    <t>METRO LENGTH</t>
  </si>
  <si>
    <t>Average of METRO AREA KM2</t>
  </si>
  <si>
    <t>METRO SERV -LENGTH
(KM)</t>
  </si>
  <si>
    <t>Average of METRO SERV -LENGTH</t>
  </si>
  <si>
    <t>POP/METRO LENGTH</t>
  </si>
  <si>
    <t>LAND/METRO LENGTH</t>
  </si>
  <si>
    <t>MIN</t>
  </si>
  <si>
    <t>MAX</t>
  </si>
  <si>
    <t>N-POP</t>
  </si>
  <si>
    <t>N-LAN</t>
  </si>
  <si>
    <t>Count of CLUSTER</t>
  </si>
  <si>
    <t>Column Labels</t>
  </si>
  <si>
    <t>SCALE 2</t>
  </si>
  <si>
    <t>METRO AREA KM2 (800m)</t>
  </si>
  <si>
    <t>RELATION METRO 
AREA COVERAGE (800m)</t>
  </si>
  <si>
    <t>METRO AREA KM2 (400m)</t>
  </si>
  <si>
    <t>RELATION METRO 
AREA COVERAGE (400m)</t>
  </si>
  <si>
    <t>METRO AREA COVE/LAND (800m)</t>
  </si>
  <si>
    <t>METRO AREA COVERAGE (800 m)</t>
  </si>
  <si>
    <t>METRO AREA COVERAGE (400 m)</t>
  </si>
  <si>
    <t>METRO AREA COVE/LAND (400m)</t>
  </si>
  <si>
    <t>N-MET (800m)</t>
  </si>
  <si>
    <t>CLUSTER 800 m</t>
  </si>
  <si>
    <t>CLUSTER 400 m</t>
  </si>
  <si>
    <t>N-MET (400m)</t>
  </si>
  <si>
    <t>(blank)</t>
  </si>
  <si>
    <t>Count of CLUSTER 400 m</t>
  </si>
  <si>
    <t>Average of METRO AREA COVE/LAND (800m)</t>
  </si>
  <si>
    <t>Average of METRO AREA COVE/LAND (400m)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</si>
</sst>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#,##0.0"/>
    <numFmt numFmtId="166" formatCode="#,##0.00000"/>
    <numFmt numFmtId="167" formatCode="#,##0.000"/>
    <numFmt numFmtId="168" formatCode="0.000"/>
  </numFmts>
  <fonts count="9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top"/>
    </xf>
    <xf numFmtId="4" fontId="1" fillId="0" borderId="0" xfId="0" applyNumberFormat="1" applyFont="1" applyAlignment="1">
      <alignment horizontal="center" vertical="top" shrinkToFit="1"/>
    </xf>
    <xf numFmtId="164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 shrinkToFit="1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165" fontId="1" fillId="2" borderId="0" xfId="0" applyNumberFormat="1" applyFont="1" applyFill="1" applyAlignment="1">
      <alignment horizontal="center" vertical="top"/>
    </xf>
    <xf numFmtId="166" fontId="4" fillId="3" borderId="0" xfId="0" applyNumberFormat="1" applyFont="1" applyFill="1" applyAlignment="1">
      <alignment horizontal="center" vertical="top" shrinkToFit="1"/>
    </xf>
    <xf numFmtId="3" fontId="2" fillId="2" borderId="0" xfId="0" applyNumberFormat="1" applyFont="1" applyFill="1" applyAlignment="1">
      <alignment horizontal="center" vertical="center" shrinkToFit="1"/>
    </xf>
    <xf numFmtId="4" fontId="4" fillId="2" borderId="0" xfId="0" applyNumberFormat="1" applyFont="1" applyFill="1" applyAlignment="1">
      <alignment horizontal="center" vertical="top" shrinkToFit="1"/>
    </xf>
    <xf numFmtId="0" fontId="2" fillId="2" borderId="0" xfId="0" applyFont="1" applyFill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 wrapText="1"/>
    </xf>
    <xf numFmtId="3" fontId="2" fillId="2" borderId="0" xfId="1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pivotButton="1" applyFont="1" applyAlignment="1">
      <alignment horizontal="left" vertical="top"/>
    </xf>
    <xf numFmtId="3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 indent="1"/>
    </xf>
    <xf numFmtId="0" fontId="6" fillId="0" borderId="0" xfId="0" applyFont="1" applyAlignment="1">
      <alignment horizontal="left" vertical="top" indent="2"/>
    </xf>
    <xf numFmtId="0" fontId="7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3" fontId="6" fillId="0" borderId="0" xfId="0" applyNumberFormat="1" applyFont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6" fillId="3" borderId="0" xfId="0" applyFont="1" applyFill="1" applyAlignment="1">
      <alignment horizontal="left" vertical="top"/>
    </xf>
    <xf numFmtId="1" fontId="7" fillId="3" borderId="0" xfId="0" applyNumberFormat="1" applyFont="1" applyFill="1" applyAlignment="1">
      <alignment horizontal="center" vertical="top"/>
    </xf>
    <xf numFmtId="0" fontId="0" fillId="0" borderId="0" xfId="0" pivotButton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indent="2"/>
    </xf>
    <xf numFmtId="0" fontId="7" fillId="4" borderId="0" xfId="0" applyFont="1" applyFill="1" applyAlignment="1">
      <alignment horizontal="center" vertical="top"/>
    </xf>
    <xf numFmtId="168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/>
    </xf>
    <xf numFmtId="168" fontId="6" fillId="4" borderId="0" xfId="0" applyNumberFormat="1" applyFont="1" applyFill="1" applyAlignment="1">
      <alignment horizontal="left" vertical="top"/>
    </xf>
    <xf numFmtId="168" fontId="7" fillId="4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167" fontId="4" fillId="2" borderId="0" xfId="0" applyNumberFormat="1" applyFont="1" applyFill="1" applyAlignment="1">
      <alignment horizontal="center" vertical="top" shrinkToFit="1"/>
    </xf>
    <xf numFmtId="166" fontId="4" fillId="2" borderId="0" xfId="0" applyNumberFormat="1" applyFont="1" applyFill="1" applyAlignment="1">
      <alignment horizontal="center" vertical="top" shrinkToFit="1"/>
    </xf>
    <xf numFmtId="1" fontId="1" fillId="2" borderId="0" xfId="0" applyNumberFormat="1" applyFont="1" applyFill="1" applyAlignment="1">
      <alignment horizontal="center" vertical="center" shrinkToFit="1"/>
    </xf>
    <xf numFmtId="1" fontId="1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4" fontId="2" fillId="3" borderId="0" xfId="0" applyNumberFormat="1" applyFont="1" applyFill="1" applyAlignment="1">
      <alignment horizontal="center" vertical="top"/>
    </xf>
    <xf numFmtId="166" fontId="5" fillId="3" borderId="0" xfId="0" applyNumberFormat="1" applyFont="1" applyFill="1" applyAlignment="1">
      <alignment horizontal="center" vertical="top" shrinkToFit="1"/>
    </xf>
    <xf numFmtId="4" fontId="6" fillId="3" borderId="0" xfId="0" applyNumberFormat="1" applyFont="1" applyFill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168" fontId="6" fillId="3" borderId="0" xfId="0" applyNumberFormat="1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8" fontId="6" fillId="3" borderId="0" xfId="0" applyNumberFormat="1" applyFont="1" applyFill="1" applyAlignment="1">
      <alignment horizontal="left" vertical="top"/>
    </xf>
    <xf numFmtId="168" fontId="7" fillId="3" borderId="0" xfId="0" applyNumberFormat="1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1" fontId="7" fillId="4" borderId="0" xfId="0" applyNumberFormat="1" applyFont="1" applyFill="1" applyAlignment="1">
      <alignment horizontal="center" vertical="top"/>
    </xf>
    <xf numFmtId="3" fontId="2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</dxfs>
  <tableStyles count="0" defaultTableStyle="TableStyleMedium9" defaultPivotStyle="PivotStyleLight16"/>
  <colors>
    <mruColors>
      <color rgb="FFFFFFCC"/>
      <color rgb="FFFFFF99"/>
      <color rgb="FFCCFFCC"/>
      <color rgb="FFFFCC99"/>
      <color rgb="FFE5F4F7"/>
      <color rgb="FFFFCCCC"/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lin Liendro" refreshedDate="45912.434977777775" createdVersion="8" refreshedVersion="8" minRefreshableVersion="3" recordCount="32" xr:uid="{E89B2267-A85F-4010-83B2-55035593B5EF}">
  <cacheSource type="worksheet">
    <worksheetSource ref="A1:Z33" sheet="SELECCIONADO"/>
  </cacheSource>
  <cacheFields count="24">
    <cacheField name="COUNTRY" numFmtId="0">
      <sharedItems/>
    </cacheField>
    <cacheField name="AREA" numFmtId="0">
      <sharedItems count="2">
        <s v="LATAM"/>
        <s v="CHINA"/>
      </sharedItems>
    </cacheField>
    <cacheField name="PROVINCIA" numFmtId="0">
      <sharedItems/>
    </cacheField>
    <cacheField name="CITY" numFmtId="0">
      <sharedItems count="32">
        <s v="Panama"/>
        <s v="Dongguan"/>
        <s v="Xiamen"/>
        <s v="Quito"/>
        <s v="Urumqi"/>
        <s v="Brasilia"/>
        <s v="Medellin"/>
        <s v="Caracas"/>
        <s v="Lanzhou"/>
        <s v="Recife"/>
        <s v="Foshan"/>
        <s v="Fuzhou"/>
        <s v="Salvador"/>
        <s v="Porto Alegre "/>
        <s v="Shaoxing"/>
        <s v="Guadalajara"/>
        <s v="Guiyang"/>
        <s v="Changzhou"/>
        <s v="Belo Horizonte"/>
        <s v="Santiago"/>
        <s v="Jinan"/>
        <s v="Changsha"/>
        <s v="Xian"/>
        <s v="Lima"/>
        <s v="Rio de Janeiro"/>
        <s v="Tianjin"/>
        <s v="Chengdu"/>
        <s v="Buenos Aires"/>
        <s v="Ciudad de Mexico"/>
        <s v="Sao Paulo"/>
        <s v="Beijing"/>
        <s v="Shanghai"/>
      </sharedItems>
    </cacheField>
    <cacheField name="SCALE" numFmtId="0">
      <sharedItems count="3">
        <s v="Medium City"/>
        <s v="Large City"/>
        <s v="Mega city"/>
      </sharedItems>
    </cacheField>
    <cacheField name="POPULATION_x000a_metropolitan area (total people) - socioeconomic" numFmtId="3">
      <sharedItems containsSemiMixedTypes="0" containsString="0" containsNumber="1" minValue="1771384" maxValue="24152700"/>
    </cacheField>
    <cacheField name="AREA_x000a_ metropolitan area_x000a_(Km2) - socioeconomico" numFmtId="3">
      <sharedItems containsSemiMixedTypes="0" containsString="0" containsNumber="1" minValue="172.65299999999999" maxValue="16411"/>
    </cacheField>
    <cacheField name="DENSITY_x000a_ metropolitan area (population/km2) - socioeconomic" numFmtId="3">
      <sharedItems containsSemiMixedTypes="0" containsString="0" containsNumber="1" minValue="278.06377657357234" maxValue="19595.709312899286"/>
    </cacheField>
    <cacheField name="PIB  - GDP MILLIONS_x000a_(%) - socioeconomic" numFmtId="0">
      <sharedItems containsBlank="1" containsMixedTypes="1" containsNumber="1" minValue="6.4409999999999998" maxValue="372.18115696733298"/>
    </cacheField>
    <cacheField name="Daily ridership  in total_x000a_(millions/day) - mobility" numFmtId="0">
      <sharedItems containsString="0" containsBlank="1" containsNumber="1" minValue="1.8723990000000001" maxValue="43.116880000000002"/>
    </cacheField>
    <cacheField name="Daily ridership public Transport_x000a_(millions/day) - mobility " numFmtId="0">
      <sharedItems containsString="0" containsBlank="1" containsNumber="1" minValue="0.65988400000000003" maxValue="16480000"/>
    </cacheField>
    <cacheField name="METRO AREA KM2" numFmtId="4">
      <sharedItems containsSemiMixedTypes="0" containsString="0" containsNumber="1" minValue="26.2" maxValue="623.36"/>
    </cacheField>
    <cacheField name="METRO SERV -LENGTH_x000a_(KM)" numFmtId="0">
      <sharedItems containsSemiMixedTypes="0" containsString="0" containsNumber="1" minValue="20.3" maxValue="940.2"/>
    </cacheField>
    <cacheField name="RELATION _x000a_DENSITY (KM METRO/LAND AREA)" numFmtId="167">
      <sharedItems containsSemiMixedTypes="0" containsString="0" containsNumber="1" minValue="2.8866194247603168E-3" maxValue="0.23323262839879155"/>
    </cacheField>
    <cacheField name="RELATION _x000a_METRO EXTENSIVENNESS" numFmtId="166">
      <sharedItems containsSemiMixedTypes="0" containsString="0" containsNumber="1" minValue="2.3072190319934373E-6" maxValue="4.6601941747572818E-5"/>
    </cacheField>
    <cacheField name="RELATION METRO _x000a_AREA COVERAGE" numFmtId="166">
      <sharedItems containsSemiMixedTypes="0" containsString="0" containsNumber="1" minValue="0.37564610254272612" maxValue="25.800604229607252"/>
    </cacheField>
    <cacheField name="OPENED" numFmtId="0">
      <sharedItems containsSemiMixedTypes="0" containsString="0" containsNumber="1" containsInteger="1" minValue="1913" maxValue="2023"/>
    </cacheField>
    <cacheField name="METRO SERV _x000a_LINES (UNID)" numFmtId="0">
      <sharedItems containsSemiMixedTypes="0" containsString="0" containsNumber="1" containsInteger="1" minValue="1" maxValue="27"/>
    </cacheField>
    <cacheField name="METRO SERV_x000a_STATIONS (UNID)" numFmtId="0">
      <sharedItems containsSemiMixedTypes="0" containsString="0" containsNumber="1" containsInteger="1" minValue="15" maxValue="506"/>
    </cacheField>
    <cacheField name="Metro - Services - Demand_x000a_Passanger/year " numFmtId="0">
      <sharedItems containsBlank="1" containsMixedTypes="1" containsNumber="1" containsInteger="1" minValue="42800000" maxValue="3848400000"/>
    </cacheField>
    <cacheField name="Metro - Services - Demand_x000a_Passanger/day" numFmtId="0">
      <sharedItems containsBlank="1" containsMixedTypes="1" containsNumber="1" containsInteger="1" minValue="2024" maxValue="2610000"/>
    </cacheField>
    <cacheField name="year metro" numFmtId="0">
      <sharedItems containsString="0" containsBlank="1" containsNumber="1" containsInteger="1" minValue="2016" maxValue="2023"/>
    </cacheField>
    <cacheField name="Fuente" numFmtId="0">
      <sharedItems containsBlank="1"/>
    </cacheField>
    <cacheField name="CLISTERING RESUL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lin Liendro" refreshedDate="45926.453181481484" createdVersion="8" refreshedVersion="8" minRefreshableVersion="3" recordCount="32" xr:uid="{8ED44A69-DBA7-4B62-A432-019DB4712830}">
  <cacheSource type="worksheet">
    <worksheetSource ref="A1:S33" sheet="NORMALIZATION"/>
  </cacheSource>
  <cacheFields count="18">
    <cacheField name="CITY" numFmtId="0">
      <sharedItems count="32">
        <s v="Panama"/>
        <s v="Dongguan"/>
        <s v="Xiamen"/>
        <s v="Quito"/>
        <s v="Urumqi"/>
        <s v="Brasilia"/>
        <s v="Medellin"/>
        <s v="Caracas"/>
        <s v="Lanzhou"/>
        <s v="Recife"/>
        <s v="Foshan"/>
        <s v="Fuzhou"/>
        <s v="Salvador"/>
        <s v="Porto Alegre "/>
        <s v="Shaoxing"/>
        <s v="Guadalajara"/>
        <s v="Guiyang"/>
        <s v="Changzhou"/>
        <s v="Belo Horizonte"/>
        <s v="Santiago"/>
        <s v="Jinan"/>
        <s v="Changsha"/>
        <s v="Xian"/>
        <s v="Lima"/>
        <s v="Rio de Janeiro"/>
        <s v="Tianjin"/>
        <s v="Chengdu"/>
        <s v="Buenos Aires"/>
        <s v="Ciudad de Mexico"/>
        <s v="Sao Paulo"/>
        <s v="Beijing"/>
        <s v="Shanghai"/>
      </sharedItems>
    </cacheField>
    <cacheField name="AREA" numFmtId="0">
      <sharedItems count="2">
        <s v="LATAM"/>
        <s v="CHINA"/>
      </sharedItems>
    </cacheField>
    <cacheField name="SCALE" numFmtId="0">
      <sharedItems count="3">
        <s v="Medium City"/>
        <s v="Large City"/>
        <s v="Mega city"/>
      </sharedItems>
    </cacheField>
    <cacheField name="POPULATION" numFmtId="165">
      <sharedItems containsSemiMixedTypes="0" containsString="0" containsNumber="1" minValue="1771384" maxValue="24152700"/>
    </cacheField>
    <cacheField name="CITY LAND AREA" numFmtId="3">
      <sharedItems containsSemiMixedTypes="0" containsString="0" containsNumber="1" minValue="172.65299999999999" maxValue="16411"/>
    </cacheField>
    <cacheField name="METRO LENGTH" numFmtId="4">
      <sharedItems containsSemiMixedTypes="0" containsString="0" containsNumber="1" minValue="20.3" maxValue="940.2"/>
    </cacheField>
    <cacheField name="METRO AREA COVERAGE" numFmtId="4">
      <sharedItems containsSemiMixedTypes="0" containsString="0" containsNumber="1" minValue="26.2" maxValue="623.36"/>
    </cacheField>
    <cacheField name="NORM POP" numFmtId="4">
      <sharedItems containsString="0" containsBlank="1" containsNumber="1" minValue="7.334103433570574E-2" maxValue="7.334103433570574E-2"/>
    </cacheField>
    <cacheField name="NORM LAND" numFmtId="4">
      <sharedItems containsNonDate="0" containsString="0" containsBlank="1"/>
    </cacheField>
    <cacheField name="NORM LENG" numFmtId="4">
      <sharedItems containsNonDate="0" containsString="0" containsBlank="1"/>
    </cacheField>
    <cacheField name="NORM COV" numFmtId="4">
      <sharedItems containsNonDate="0" containsString="0" containsBlank="1"/>
    </cacheField>
    <cacheField name="POP/METRO LENGTH" numFmtId="0">
      <sharedItems containsSemiMixedTypes="0" containsString="0" containsNumber="1" minValue="2.3072190319934373E-6" maxValue="4.6601941747572818E-5"/>
    </cacheField>
    <cacheField name="LAND/METRO LENGTH" numFmtId="0">
      <sharedItems containsSemiMixedTypes="0" containsString="0" containsNumber="1" minValue="2.8866194247603168E-3" maxValue="0.23323262839879155"/>
    </cacheField>
    <cacheField name="METRO AREA COVE/LAND " numFmtId="0">
      <sharedItems containsSemiMixedTypes="0" containsString="0" containsNumber="1" minValue="3.756461025427261E-3" maxValue="0.25800604229607255"/>
    </cacheField>
    <cacheField name="N-POP" numFmtId="168">
      <sharedItems containsSemiMixedTypes="0" containsString="0" containsNumber="1" minValue="0" maxValue="1"/>
    </cacheField>
    <cacheField name="N-LAN" numFmtId="168">
      <sharedItems containsSemiMixedTypes="0" containsString="0" containsNumber="1" minValue="0" maxValue="1"/>
    </cacheField>
    <cacheField name="N-MET" numFmtId="168">
      <sharedItems containsSemiMixedTypes="0" containsString="0" containsNumber="1" minValue="0" maxValue="1"/>
    </cacheField>
    <cacheField name="CLUSTER" numFmtId="1">
      <sharedItems containsSemiMixedTypes="0" containsString="0" containsNumber="1" containsInteger="1" minValue="1" maxValue="7" count="7">
        <n v="6"/>
        <n v="2"/>
        <n v="3"/>
        <n v="5"/>
        <n v="1"/>
        <n v="7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lin Liendro" refreshedDate="45929.843110879629" createdVersion="8" refreshedVersion="8" minRefreshableVersion="3" recordCount="33" xr:uid="{E28A3303-0FA2-402E-AE78-E54B72D1C6FC}">
  <cacheSource type="worksheet">
    <worksheetSource ref="A1:S34" sheet="NORMALIZATION"/>
  </cacheSource>
  <cacheFields count="19">
    <cacheField name="CITY" numFmtId="0">
      <sharedItems containsBlank="1" count="33">
        <s v="Urumqi"/>
        <s v="Shaoxing"/>
        <s v="Buenos Aires"/>
        <s v="Dongguan"/>
        <s v="Lanzhou"/>
        <s v="Changzhou"/>
        <s v="Tianjin"/>
        <s v="Foshan"/>
        <s v="Jinan"/>
        <s v="Lima"/>
        <s v="Guiyang"/>
        <s v="Recife"/>
        <s v="Guadalajara"/>
        <s v="Beijing"/>
        <s v="Fuzhou"/>
        <s v="Belo Horizonte"/>
        <s v="Xiamen"/>
        <s v="Quito"/>
        <s v="Xian"/>
        <s v="Changsha"/>
        <s v="Salvador"/>
        <s v="Ciudad de Mexico"/>
        <s v="Porto Alegre "/>
        <s v="Panama"/>
        <s v="Sao Paulo"/>
        <s v="Chengdu"/>
        <s v="Shanghai"/>
        <s v="Brasilia"/>
        <s v="Rio de Janeiro"/>
        <s v="Caracas"/>
        <s v="Medellin"/>
        <s v="Santiago"/>
        <m/>
      </sharedItems>
    </cacheField>
    <cacheField name="AREA" numFmtId="0">
      <sharedItems containsBlank="1" count="3">
        <s v="CHINA"/>
        <s v="LATAM"/>
        <m/>
      </sharedItems>
    </cacheField>
    <cacheField name="SCALE" numFmtId="0">
      <sharedItems containsBlank="1" count="4">
        <s v="Medium City"/>
        <s v="Mega city"/>
        <s v="Large City"/>
        <m/>
      </sharedItems>
    </cacheField>
    <cacheField name="POPULATION" numFmtId="165">
      <sharedItems containsSemiMixedTypes="0" containsString="0" containsNumber="1" minValue="1771384" maxValue="251284920.90731099"/>
    </cacheField>
    <cacheField name="CITY LAND AREA" numFmtId="0">
      <sharedItems containsString="0" containsBlank="1" containsNumber="1" minValue="172.65299999999999" maxValue="16411"/>
    </cacheField>
    <cacheField name="METRO LENGTH" numFmtId="0">
      <sharedItems containsString="0" containsBlank="1" containsNumber="1" minValue="20.3" maxValue="940.2"/>
    </cacheField>
    <cacheField name="METRO AREA COVERAGE (400 m)" numFmtId="0">
      <sharedItems containsString="0" containsBlank="1" containsNumber="1" minValue="7" maxValue="188.41"/>
    </cacheField>
    <cacheField name="METRO AREA COVERAGE (800 m)" numFmtId="0">
      <sharedItems containsString="0" containsBlank="1" containsNumber="1" minValue="26.2" maxValue="623.36"/>
    </cacheField>
    <cacheField name="POP/METRO LENGTH" numFmtId="0">
      <sharedItems containsString="0" containsBlank="1" containsNumber="1" minValue="2.3072190319934373E-6" maxValue="4.6601941747572818E-5"/>
    </cacheField>
    <cacheField name="LAND/METRO LENGTH" numFmtId="0">
      <sharedItems containsString="0" containsBlank="1" containsNumber="1" minValue="2.8866194247603168E-3" maxValue="0.23323262839879155"/>
    </cacheField>
    <cacheField name="METRO AREA COVE/LAND (400m)" numFmtId="0">
      <sharedItems containsString="0" containsBlank="1" containsNumber="1" minValue="1.1004585243851606E-3" maxValue="9.1948640483383678E-2"/>
    </cacheField>
    <cacheField name="METRO AREA COVE/LAND (800m)" numFmtId="0">
      <sharedItems containsString="0" containsBlank="1" containsNumber="1" minValue="3.756461025427261E-3" maxValue="0.25800604229607255"/>
    </cacheField>
    <cacheField name="N-POP" numFmtId="0">
      <sharedItems containsString="0" containsBlank="1" containsNumber="1" minValue="0" maxValue="1"/>
    </cacheField>
    <cacheField name="N-LAN" numFmtId="168">
      <sharedItems containsString="0" containsBlank="1" containsNumber="1" minValue="0" maxValue="1"/>
    </cacheField>
    <cacheField name="SCALE 2" numFmtId="0">
      <sharedItems containsString="0" containsBlank="1" containsNumber="1" minValue="6.8529957904329586E-2" maxValue="1.5445550362072566"/>
    </cacheField>
    <cacheField name="N-MET (400m)" numFmtId="0">
      <sharedItems containsString="0" containsBlank="1" containsNumber="1" minValue="0" maxValue="1"/>
    </cacheField>
    <cacheField name="N-MET (800m)" numFmtId="168">
      <sharedItems containsString="0" containsBlank="1" containsNumber="1" minValue="0" maxValue="1"/>
    </cacheField>
    <cacheField name="CLUSTER 400 m" numFmtId="0">
      <sharedItems containsString="0" containsBlank="1" containsNumber="1" containsInteger="1" minValue="1" maxValue="7" count="8">
        <n v="5"/>
        <n v="2"/>
        <n v="3"/>
        <n v="6"/>
        <n v="4"/>
        <n v="1"/>
        <n v="7"/>
        <m/>
      </sharedItems>
    </cacheField>
    <cacheField name="CLUSTER 800 m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lin Liendro" refreshedDate="45930.439590393522" createdVersion="8" refreshedVersion="8" minRefreshableVersion="3" recordCount="51" xr:uid="{13A71DEA-4497-4074-8300-86D465327D39}">
  <cacheSource type="worksheet">
    <worksheetSource ref="A1:S1048576" sheet="NORMALIZATION"/>
  </cacheSource>
  <cacheFields count="19">
    <cacheField name="CITY" numFmtId="0">
      <sharedItems containsBlank="1"/>
    </cacheField>
    <cacheField name="AREA" numFmtId="0">
      <sharedItems containsBlank="1" count="3">
        <s v="CHINA"/>
        <s v="LATAM"/>
        <m/>
      </sharedItems>
    </cacheField>
    <cacheField name="SCALE" numFmtId="0">
      <sharedItems containsBlank="1" count="4">
        <s v="Mega city"/>
        <s v="Large City"/>
        <s v="Medium City"/>
        <m/>
      </sharedItems>
    </cacheField>
    <cacheField name="POPULATION" numFmtId="0">
      <sharedItems containsString="0" containsBlank="1" containsNumber="1" minValue="1771384" maxValue="24152700"/>
    </cacheField>
    <cacheField name="CITY LAND AREA" numFmtId="0">
      <sharedItems containsString="0" containsBlank="1" containsNumber="1" minValue="172.65299999999999" maxValue="16411"/>
    </cacheField>
    <cacheField name="METRO LENGTH" numFmtId="0">
      <sharedItems containsString="0" containsBlank="1" containsNumber="1" minValue="20.3" maxValue="940.2"/>
    </cacheField>
    <cacheField name="METRO AREA COVERAGE (400 m)" numFmtId="0">
      <sharedItems containsString="0" containsBlank="1" containsNumber="1" minValue="7" maxValue="188.41" count="32">
        <n v="188.41"/>
        <n v="10.48"/>
        <n v="14.6"/>
        <n v="39.28"/>
        <n v="22.33"/>
        <n v="70.66"/>
        <n v="20.88"/>
        <n v="142.80000000000001"/>
        <n v="72.81"/>
        <n v="7.55"/>
        <n v="38.19"/>
        <n v="53.62"/>
        <n v="22.15"/>
        <n v="40.619999999999997"/>
        <n v="24.66"/>
        <n v="13.43"/>
        <n v="15.48"/>
        <n v="12.96"/>
        <n v="16.690000000000001"/>
        <n v="11.53"/>
        <n v="7.54"/>
        <n v="20.18"/>
        <n v="7"/>
        <n v="60.87"/>
        <n v="42.33"/>
        <n v="135.63"/>
        <n v="17.579999999999998"/>
        <n v="107.9"/>
        <n v="10.56"/>
        <n v="37.75"/>
        <n v="98.89"/>
        <m/>
      </sharedItems>
    </cacheField>
    <cacheField name="METRO AREA COVERAGE (800 m)" numFmtId="0">
      <sharedItems containsString="0" containsBlank="1" containsNumber="1" minValue="26.2" maxValue="623.36"/>
    </cacheField>
    <cacheField name="POP/METRO LENGTH" numFmtId="0">
      <sharedItems containsString="0" containsBlank="1" containsNumber="1" minValue="2.3072190319934373E-6" maxValue="4.6601941747572818E-5"/>
    </cacheField>
    <cacheField name="LAND/METRO LENGTH" numFmtId="0">
      <sharedItems containsString="0" containsBlank="1" containsNumber="1" minValue="2.8866194247603168E-3" maxValue="0.23323262839879155"/>
    </cacheField>
    <cacheField name="METRO AREA COVE/LAND (400m)" numFmtId="0">
      <sharedItems containsString="0" containsBlank="1" containsNumber="1" minValue="1.1004585243851606E-3" maxValue="9.1948640483383678E-2"/>
    </cacheField>
    <cacheField name="METRO AREA COVE/LAND (800m)" numFmtId="0">
      <sharedItems containsString="0" containsBlank="1" containsNumber="1" minValue="3.756461025427261E-3" maxValue="0.25800604229607255"/>
    </cacheField>
    <cacheField name="N-POP" numFmtId="0">
      <sharedItems containsString="0" containsBlank="1" containsNumber="1" minValue="0" maxValue="1"/>
    </cacheField>
    <cacheField name="N-LAN" numFmtId="0">
      <sharedItems containsString="0" containsBlank="1" containsNumber="1" minValue="0" maxValue="1"/>
    </cacheField>
    <cacheField name="SCALE 2" numFmtId="0">
      <sharedItems containsString="0" containsBlank="1" containsNumber="1" minValue="6.8529957904329586E-2" maxValue="1.5445550362072566"/>
    </cacheField>
    <cacheField name="N-MET (400m)" numFmtId="0">
      <sharedItems containsString="0" containsBlank="1" containsNumber="1" minValue="0" maxValue="1"/>
    </cacheField>
    <cacheField name="N-MET (800m)" numFmtId="0">
      <sharedItems containsString="0" containsBlank="1" containsNumber="1" minValue="0" maxValue="1"/>
    </cacheField>
    <cacheField name="CLUSTER 400 m" numFmtId="0">
      <sharedItems containsString="0" containsBlank="1" containsNumber="1" containsInteger="1" minValue="1" maxValue="7"/>
    </cacheField>
    <cacheField name="CLUSTER 800 m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Panama"/>
    <x v="0"/>
    <s v="Panama"/>
    <x v="0"/>
    <x v="0"/>
    <n v="1771384"/>
    <n v="287"/>
    <n v="6172.0696864111496"/>
    <n v="46.21"/>
    <n v="1.8723990000000001"/>
    <n v="0.65988400000000003"/>
    <n v="54.16"/>
    <n v="36.799999999999997"/>
    <n v="0.12822299651567942"/>
    <n v="2.0774716267054458E-5"/>
    <n v="18.871080139372822"/>
    <n v="2014"/>
    <n v="2"/>
    <n v="33"/>
    <n v="219000000"/>
    <n v="499396"/>
    <n v="2023"/>
    <s v="https://www.elmetrodepanama.com/wp-content/uploads/2024/02/Metro-de-Panama-Memoria-Anual-2023-version-digital-2.pdf"/>
    <m/>
  </r>
  <r>
    <s v="China"/>
    <x v="1"/>
    <s v="Guangdong "/>
    <x v="1"/>
    <x v="0"/>
    <n v="1950100"/>
    <n v="2460"/>
    <n v="792.72357723577238"/>
    <m/>
    <m/>
    <m/>
    <n v="29.93"/>
    <n v="37.700000000000003"/>
    <n v="1.5325203252032521E-2"/>
    <n v="1.9332341931183018E-5"/>
    <n v="1.2166666666666666"/>
    <n v="2016"/>
    <n v="1"/>
    <n v="15"/>
    <m/>
    <m/>
    <m/>
    <m/>
    <m/>
  </r>
  <r>
    <s v="China"/>
    <x v="1"/>
    <s v=" Fujian"/>
    <x v="2"/>
    <x v="0"/>
    <n v="2111500"/>
    <n v="1699"/>
    <n v="1242.789876397881"/>
    <m/>
    <m/>
    <m/>
    <n v="116.55"/>
    <n v="98.4"/>
    <n v="5.791642142436728E-2"/>
    <n v="4.6601941747572818E-5"/>
    <n v="6.8599175985874048"/>
    <n v="2021"/>
    <n v="3"/>
    <n v="70"/>
    <m/>
    <m/>
    <m/>
    <m/>
    <m/>
  </r>
  <r>
    <s v="Ecuador"/>
    <x v="0"/>
    <s v="Pichincha"/>
    <x v="3"/>
    <x v="0"/>
    <n v="2239191"/>
    <n v="372.39"/>
    <n v="6013.0266655925243"/>
    <n v="6.4409999999999998"/>
    <n v="3.9214707999999998"/>
    <n v="2.2305839999999999"/>
    <n v="26.6"/>
    <n v="22.6"/>
    <n v="6.0689062541958702E-2"/>
    <n v="1.0092930884413167E-5"/>
    <n v="7.1430489540535467"/>
    <n v="2023"/>
    <n v="1"/>
    <n v="15"/>
    <s v="-"/>
    <s v="147.688,"/>
    <n v="2023"/>
    <s v="https://issuu.com/metrodequito/docs/01-quitosemueve"/>
    <m/>
  </r>
  <r>
    <s v="China"/>
    <x v="1"/>
    <s v=" Xinjiang "/>
    <x v="4"/>
    <x v="0"/>
    <n v="2668300"/>
    <n v="9596"/>
    <n v="278.06377657357234"/>
    <m/>
    <m/>
    <m/>
    <n v="36.046999999999997"/>
    <n v="27.7"/>
    <n v="2.8866194247603168E-3"/>
    <n v="1.0381141550800135E-5"/>
    <n v="0.37564610254272612"/>
    <n v="2018"/>
    <n v="1"/>
    <n v="21"/>
    <m/>
    <m/>
    <m/>
    <m/>
    <m/>
  </r>
  <r>
    <s v="Brazil"/>
    <x v="0"/>
    <s v="Federal District"/>
    <x v="5"/>
    <x v="0"/>
    <n v="2852372"/>
    <n v="251.01"/>
    <n v="11363.579140273296"/>
    <n v="87.5235959613007"/>
    <n v="4.0907943357640955"/>
    <n v="1.3850344943505464"/>
    <n v="48.3"/>
    <n v="38.799999999999997"/>
    <n v="0.15457551491972432"/>
    <n v="1.360271381152248E-5"/>
    <n v="19.242261264491454"/>
    <n v="2001"/>
    <n v="2"/>
    <n v="27"/>
    <n v="42800000"/>
    <n v="108000"/>
    <n v="2022"/>
    <s v="https://metro.df.gov.br/wp-content/uploads/2023/05/Relatorio_de_Sustentabilidade__2__compactado.pdf"/>
    <m/>
  </r>
  <r>
    <s v="Colombia"/>
    <x v="0"/>
    <s v="Anitoquia"/>
    <x v="6"/>
    <x v="0"/>
    <n v="3383258"/>
    <n v="172.65299999999999"/>
    <n v="19595.709312899286"/>
    <n v="18.157203882196601"/>
    <n v="5.6127970000000005"/>
    <n v="2.2638989999999999"/>
    <n v="40.96"/>
    <n v="39.4"/>
    <n v="0.22820339061585956"/>
    <n v="1.1645579497632163E-5"/>
    <n v="23.723885481283268"/>
    <n v="1995"/>
    <n v="2"/>
    <n v="27"/>
    <m/>
    <m/>
    <m/>
    <m/>
    <m/>
  </r>
  <r>
    <s v="Venezuela"/>
    <x v="0"/>
    <s v="Distrito Capital"/>
    <x v="7"/>
    <x v="0"/>
    <n v="3611087"/>
    <n v="260.63"/>
    <n v="13855.223880597016"/>
    <s v="-"/>
    <n v="7.5230915481782974"/>
    <n v="4.2824669736908971"/>
    <n v="65.64"/>
    <n v="56.5"/>
    <n v="0.21678241184821395"/>
    <n v="1.5646258315017057E-5"/>
    <n v="25.185128342861528"/>
    <n v="1983"/>
    <n v="3"/>
    <n v="48"/>
    <n v="320300000"/>
    <n v="1630000"/>
    <n v="2017"/>
    <s v="http://repositoriodigital.uma.edu.ve:8080/jspui/bitstream/123456789/858/1/TEG_EPG1_2018.pdf"/>
    <m/>
  </r>
  <r>
    <s v="China"/>
    <x v="1"/>
    <s v=" Gansu"/>
    <x v="8"/>
    <x v="0"/>
    <n v="3693100"/>
    <n v="1632"/>
    <n v="2262.9289215686276"/>
    <m/>
    <m/>
    <m/>
    <n v="43.04"/>
    <n v="25.9"/>
    <n v="1.5870098039215685E-2"/>
    <n v="7.0130784435839806E-6"/>
    <n v="2.6372549019607843"/>
    <n v="2019"/>
    <n v="2"/>
    <n v="29"/>
    <m/>
    <m/>
    <m/>
    <m/>
    <m/>
  </r>
  <r>
    <s v="Brazil "/>
    <x v="0"/>
    <s v="Pernambuco"/>
    <x v="9"/>
    <x v="0"/>
    <n v="3887261"/>
    <n v="841.23999999996545"/>
    <n v="4620.8703818175072"/>
    <n v="35.911681467860603"/>
    <n v="7.0274203392999546"/>
    <n v="2.6064498460523047"/>
    <n v="46.7"/>
    <n v="35.799999999999997"/>
    <n v="4.2556226522753871E-2"/>
    <n v="9.2095694114699262E-6"/>
    <n v="5.5513289905380052"/>
    <n v="1985"/>
    <n v="3"/>
    <n v="28"/>
    <n v="93500000"/>
    <n v="400000"/>
    <n v="2023"/>
    <s v="https://www.metrorecife.com.br/mapa/"/>
    <m/>
  </r>
  <r>
    <s v="China"/>
    <x v="1"/>
    <s v=" Guangdong "/>
    <x v="10"/>
    <x v="0"/>
    <n v="3889700.0000000005"/>
    <n v="3798"/>
    <n v="1024.1442864665614"/>
    <m/>
    <m/>
    <m/>
    <n v="138.43"/>
    <n v="94.5"/>
    <n v="2.4881516587677725E-2"/>
    <n v="2.4294932771164868E-5"/>
    <n v="3.6448130595050028"/>
    <n v="2010"/>
    <n v="3"/>
    <n v="74"/>
    <m/>
    <m/>
    <m/>
    <m/>
    <m/>
  </r>
  <r>
    <s v="China"/>
    <x v="1"/>
    <s v=" Fujian"/>
    <x v="11"/>
    <x v="0"/>
    <n v="3992799.9999999995"/>
    <n v="1786"/>
    <n v="2235.6103023516234"/>
    <m/>
    <m/>
    <m/>
    <n v="168.41"/>
    <n v="78.900000000000006"/>
    <n v="4.4176931690929455E-2"/>
    <n v="1.9760569024243642E-5"/>
    <n v="9.4294512877939525"/>
    <n v="2016"/>
    <n v="5"/>
    <n v="100"/>
    <m/>
    <m/>
    <m/>
    <m/>
    <m/>
  </r>
  <r>
    <s v="Brazil"/>
    <x v="0"/>
    <s v="Bahía"/>
    <x v="12"/>
    <x v="0"/>
    <n v="4016371"/>
    <n v="384.43686323588486"/>
    <n v="10447.413825493662"/>
    <n v="34.854906792999799"/>
    <n v="6.1306332435345361"/>
    <n v="2.3776702895347808"/>
    <n v="26.2"/>
    <n v="31.4"/>
    <n v="8.1677911258820707E-2"/>
    <n v="7.8180028687588875E-6"/>
    <n v="6.8151632961181621"/>
    <n v="2014"/>
    <n v="2"/>
    <n v="20"/>
    <n v="62000000"/>
    <n v="350000"/>
    <m/>
    <s v="https://www.ccrmetrobahia.com.br/por-dentro-do-metr%C3%B4/metr%C3%B4-em-n%C3%BAmeros/"/>
    <m/>
  </r>
  <r>
    <s v="Brazil"/>
    <x v="0"/>
    <s v="Rio Grande do Sul"/>
    <x v="13"/>
    <x v="0"/>
    <n v="4161237"/>
    <n v="433.98"/>
    <n v="9588.5455550947045"/>
    <n v="55.335856406287903"/>
    <n v="5.8370003038828262"/>
    <n v="2.1307638966666662"/>
    <n v="44.15"/>
    <n v="38.299999999999997"/>
    <n v="8.8252914880870073E-2"/>
    <n v="9.2039939085420992E-6"/>
    <n v="10.173279874648602"/>
    <n v="1985"/>
    <n v="1"/>
    <n v="22"/>
    <n v="48100000"/>
    <n v="200000"/>
    <n v="2023"/>
    <s v="https://www.trensurb.gov.br/sobre-a-trensurb/historia"/>
    <m/>
  </r>
  <r>
    <s v="China"/>
    <x v="1"/>
    <s v=" Zhejiang"/>
    <x v="14"/>
    <x v="0"/>
    <n v="4431100"/>
    <n v="2965"/>
    <n v="1494.4688026981451"/>
    <m/>
    <m/>
    <m/>
    <n v="63.4"/>
    <n v="20.3"/>
    <n v="6.8465430016863412E-3"/>
    <n v="4.5812552187944301E-6"/>
    <n v="2.1382799325463742"/>
    <n v="2021"/>
    <n v="2"/>
    <n v="37"/>
    <m/>
    <m/>
    <m/>
    <m/>
    <m/>
  </r>
  <r>
    <s v="México"/>
    <x v="0"/>
    <s v="Jalisco"/>
    <x v="15"/>
    <x v="0"/>
    <n v="4515531"/>
    <n v="692.524"/>
    <n v="6520.3964050343384"/>
    <n v="73.822313432835799"/>
    <n v="10.387395631921864"/>
    <n v="3.1557797047124545"/>
    <n v="60.02"/>
    <n v="30.1"/>
    <n v="4.3464197630695832E-2"/>
    <n v="6.6658827057105804E-6"/>
    <n v="8.6668476471573541"/>
    <n v="1989"/>
    <n v="3"/>
    <n v="48"/>
    <n v="139500000"/>
    <n v="382142"/>
    <n v="2023"/>
    <s v="https://lineasdelmetro.com.mx/guadalajara/"/>
    <m/>
  </r>
  <r>
    <s v="China"/>
    <x v="1"/>
    <s v="Guizhou"/>
    <x v="16"/>
    <x v="0"/>
    <n v="4621800"/>
    <n v="2525"/>
    <n v="1830.4158415841584"/>
    <m/>
    <m/>
    <n v="2408550"/>
    <n v="135.26"/>
    <n v="76.8"/>
    <n v="3.0415841584158415E-2"/>
    <n v="1.6616902505517329E-5"/>
    <n v="5.3568316831683171"/>
    <n v="2017"/>
    <n v="3"/>
    <n v="82"/>
    <m/>
    <m/>
    <m/>
    <s v="https://www.ceicdata.com/en/china/no-of-employee-prefecture-level-city/no-of-employee-guizhou-guiyang"/>
    <m/>
  </r>
  <r>
    <s v="China"/>
    <x v="1"/>
    <s v="Jiangsu"/>
    <x v="17"/>
    <x v="0"/>
    <n v="4701400"/>
    <n v="2838"/>
    <n v="1656.5891472868218"/>
    <m/>
    <m/>
    <m/>
    <n v="71.63"/>
    <n v="54"/>
    <n v="1.9027484143763214E-2"/>
    <n v="1.1485940358191178E-5"/>
    <n v="2.5239605355884427"/>
    <n v="2019"/>
    <n v="2"/>
    <n v="44"/>
    <m/>
    <m/>
    <m/>
    <m/>
    <m/>
  </r>
  <r>
    <s v="Brazil"/>
    <x v="0"/>
    <s v="Minas Gerais"/>
    <x v="18"/>
    <x v="1"/>
    <n v="5609654"/>
    <n v="603"/>
    <n v="9302.9087893864016"/>
    <n v="68.766104958611805"/>
    <n v="12.632550311070631"/>
    <n v="3.2753302151274384"/>
    <n v="36.6"/>
    <n v="27.9"/>
    <n v="4.6268656716417909E-2"/>
    <n v="4.9735687798213573E-6"/>
    <n v="6.0696517412935327"/>
    <n v="1986"/>
    <n v="1"/>
    <n v="19"/>
    <n v="54400000"/>
    <n v="100000"/>
    <n v="2023"/>
    <s v="https://www.metrobh.com.br/institucional/#metro-bh-em-numeros"/>
    <m/>
  </r>
  <r>
    <s v="Chile"/>
    <x v="0"/>
    <s v="Santiago"/>
    <x v="19"/>
    <x v="1"/>
    <n v="5842259"/>
    <n v="662"/>
    <n v="8825.1646525679753"/>
    <n v="107.40248972133399"/>
    <n v="13.726144366142044"/>
    <n v="5.4799499999999997"/>
    <n v="170.8"/>
    <n v="154.4"/>
    <n v="0.23323262839879155"/>
    <n v="2.6428133364166158E-5"/>
    <n v="25.800604229607252"/>
    <n v="1975"/>
    <n v="7"/>
    <n v="143"/>
    <n v="599090000"/>
    <n v="2030000"/>
    <n v="2023"/>
    <s v="https://www.metro.cl/gobierno-corporativo/memoria"/>
    <m/>
  </r>
  <r>
    <s v="China"/>
    <x v="1"/>
    <s v="Shandong"/>
    <x v="20"/>
    <x v="1"/>
    <n v="6257300"/>
    <n v="3303"/>
    <n v="1894.429306690887"/>
    <m/>
    <m/>
    <m/>
    <n v="90.09"/>
    <n v="84.25"/>
    <n v="2.5507114744171965E-2"/>
    <n v="1.3464273728285362E-5"/>
    <n v="2.7275204359673024"/>
    <n v="2019"/>
    <n v="3"/>
    <n v="40"/>
    <m/>
    <m/>
    <m/>
    <m/>
    <m/>
  </r>
  <r>
    <s v="China"/>
    <x v="1"/>
    <s v=" Hunan"/>
    <x v="21"/>
    <x v="1"/>
    <n v="8282700"/>
    <n v="1909"/>
    <n v="4338.7637506547935"/>
    <m/>
    <m/>
    <m/>
    <n v="230.6"/>
    <n v="142.6"/>
    <n v="7.4698795180722893E-2"/>
    <n v="1.7216608110881718E-5"/>
    <n v="12.079622839182818"/>
    <n v="2014"/>
    <n v="7"/>
    <n v="158"/>
    <m/>
    <m/>
    <m/>
    <m/>
    <m/>
  </r>
  <r>
    <s v="China"/>
    <x v="1"/>
    <s v="Shaanxi"/>
    <x v="22"/>
    <x v="1"/>
    <n v="8705600"/>
    <n v="3874"/>
    <n v="2247.1863706763033"/>
    <m/>
    <m/>
    <m/>
    <n v="338.42"/>
    <n v="256.2"/>
    <n v="6.6133195663396996E-2"/>
    <n v="2.9429332843227347E-5"/>
    <n v="8.7356737222509029"/>
    <n v="2011"/>
    <n v="9"/>
    <n v="212"/>
    <m/>
    <m/>
    <m/>
    <m/>
    <m/>
  </r>
  <r>
    <s v="Perú"/>
    <x v="0"/>
    <s v="Lima"/>
    <x v="23"/>
    <x v="1"/>
    <n v="9752000"/>
    <n v="798.6"/>
    <n v="12211.36989732031"/>
    <n v="67.723247232472303"/>
    <n v="22.262"/>
    <n v="11.345000000000001"/>
    <n v="53.8"/>
    <n v="22.5"/>
    <n v="2.8174305033809164E-2"/>
    <n v="2.3072190319934373E-6"/>
    <n v="6.7367893814174806"/>
    <n v="2011"/>
    <n v="2"/>
    <n v="53"/>
    <n v="110400000"/>
    <n v="550000"/>
    <m/>
    <m/>
    <m/>
  </r>
  <r>
    <s v="Brazil"/>
    <x v="0"/>
    <s v="Rio de Janeiro"/>
    <x v="24"/>
    <x v="2"/>
    <n v="12156624"/>
    <n v="900"/>
    <n v="13507.36"/>
    <n v="153.38783126843302"/>
    <n v="22.076110365024793"/>
    <n v="10.535286623474565"/>
    <n v="63.6"/>
    <n v="161.30000000000001"/>
    <n v="0.17922222222222223"/>
    <n v="1.3268486382403536E-5"/>
    <n v="7.0666666666666664"/>
    <n v="1979"/>
    <n v="3"/>
    <n v="41"/>
    <n v="188861315"/>
    <n v="2024"/>
    <n v="2016"/>
    <s v="https://web.archive.org/web/20190709192307/http://g1.globo.com/rio-de-janeiro/noticia/2016/07/temer-participa-de-inauguracao-da-linha-4-do-metro-no-rio.html"/>
    <m/>
  </r>
  <r>
    <s v="China"/>
    <x v="1"/>
    <s v="Tianjin"/>
    <x v="25"/>
    <x v="2"/>
    <n v="14390000"/>
    <n v="11917"/>
    <n v="1207.5186708064109"/>
    <m/>
    <m/>
    <m/>
    <n v="231.58"/>
    <n v="256.2"/>
    <n v="2.149869933708148E-2"/>
    <n v="1.7804030576789436E-5"/>
    <n v="1.9432743140052027"/>
    <n v="1984"/>
    <n v="10"/>
    <n v="218"/>
    <m/>
    <m/>
    <m/>
    <m/>
    <m/>
  </r>
  <r>
    <s v="China"/>
    <x v="1"/>
    <s v="Sichuan"/>
    <x v="26"/>
    <x v="2"/>
    <n v="14657500"/>
    <n v="3240"/>
    <n v="4523.9197530864194"/>
    <m/>
    <m/>
    <m/>
    <n v="448.32"/>
    <n v="439.7"/>
    <n v="0.13570987654320987"/>
    <n v="2.9998294388538289E-5"/>
    <n v="13.837037037037037"/>
    <n v="2010"/>
    <n v="13"/>
    <n v="373"/>
    <m/>
    <m/>
    <m/>
    <m/>
    <m/>
  </r>
  <r>
    <s v="Argentina"/>
    <x v="0"/>
    <s v="Buenos Aires"/>
    <x v="27"/>
    <x v="2"/>
    <n v="15769937.907311"/>
    <n v="3883"/>
    <n v="4061.2768239276334"/>
    <n v="75.661355556425903"/>
    <n v="34.376628138984564"/>
    <n v="12.499173510476242"/>
    <n v="73.400000000000006"/>
    <n v="57"/>
    <n v="1.4679371619881535E-2"/>
    <n v="3.6144720629226192E-6"/>
    <n v="1.8902910121040435"/>
    <n v="1913"/>
    <n v="6"/>
    <n v="108"/>
    <n v="302850000"/>
    <m/>
    <n v="2023"/>
    <s v="https://www.estadisticaciudad.gob.ar/eyc/?p=46559_x000a_https://www.researchgate.net/publication/345811121_Demanda_de_pasajeros_del_Sistema_de_Subterraneos_de_la_Ciudad_Autonoma_de_Buenos_Aires_Evidencia_empirica_de_diferencias_entre_lineas_y_estaciones"/>
    <m/>
  </r>
  <r>
    <s v="México"/>
    <x v="0"/>
    <s v="Ciudad de Mexico"/>
    <x v="28"/>
    <x v="2"/>
    <n v="20392950"/>
    <n v="2608.5744249999998"/>
    <n v="7817.6607899542687"/>
    <n v="192.620223880597"/>
    <n v="43.116880000000002"/>
    <n v="25.246925999999998"/>
    <n v="206.8"/>
    <n v="225.1"/>
    <n v="8.6292343374485089E-2"/>
    <n v="1.1038128372795501E-5"/>
    <n v="7.9277017369362586"/>
    <n v="1969"/>
    <n v="12"/>
    <n v="195"/>
    <n v="1057461875"/>
    <m/>
    <n v="2022"/>
    <s v="https://metro.cdmx.gob.mx/longitud-lineas"/>
    <m/>
  </r>
  <r>
    <s v="Brazil"/>
    <x v="0"/>
    <s v="Sao Paulo"/>
    <x v="29"/>
    <x v="2"/>
    <n v="20935204"/>
    <n v="2209"/>
    <n v="9477.2313263920332"/>
    <n v="372.18115696733298"/>
    <n v="42.826424487983047"/>
    <n v="13.957219982354985"/>
    <n v="126.1"/>
    <n v="288.10000000000002"/>
    <n v="0.1304210049796288"/>
    <n v="1.3761509082978127E-5"/>
    <n v="5.708465368945224"/>
    <n v="1974"/>
    <n v="13"/>
    <n v="89"/>
    <n v="1104200000"/>
    <n v="2610000"/>
    <n v="2022"/>
    <s v="https://www.metro.sp.gov.br/wp-content/uploads/2023/05/relatorio-integrado-2022.pdf"/>
    <m/>
  </r>
  <r>
    <s v="China"/>
    <x v="1"/>
    <s v="Beijing"/>
    <x v="30"/>
    <x v="2"/>
    <n v="21883000"/>
    <n v="16411"/>
    <n v="1333.4348912314911"/>
    <m/>
    <m/>
    <n v="16480000"/>
    <n v="623.36"/>
    <n v="721.6"/>
    <n v="4.3970507586374996E-2"/>
    <n v="3.2975369007905682E-5"/>
    <n v="3.7984278837365184"/>
    <n v="1971"/>
    <n v="27"/>
    <n v="490"/>
    <n v="3848400000"/>
    <s v="_x0009_10544000"/>
    <n v="2018"/>
    <s v="https://nj.tjj.beijing.gov.cn/nj/main/2021-tjnj/zk/indexeh.htm"/>
    <m/>
  </r>
  <r>
    <s v="China"/>
    <x v="1"/>
    <s v="Shanghai"/>
    <x v="31"/>
    <x v="2"/>
    <n v="24152700"/>
    <n v="6341"/>
    <n v="3808.9733480523578"/>
    <m/>
    <m/>
    <m/>
    <n v="438.85"/>
    <n v="940.2"/>
    <n v="0.14827314303737582"/>
    <n v="3.8927324895353319E-5"/>
    <n v="6.9208326762340322"/>
    <n v="1993"/>
    <n v="19"/>
    <n v="506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n v="1771384"/>
    <n v="287"/>
    <n v="36.799999999999997"/>
    <n v="54.16"/>
    <n v="7.334103433570574E-2"/>
    <m/>
    <m/>
    <m/>
    <n v="2.0774716267054458E-5"/>
    <n v="0.12822299651567942"/>
    <n v="0.1887108013937282"/>
    <n v="0.41692319316778603"/>
    <n v="0.54412219968199793"/>
    <n v="0.72745189763525908"/>
    <x v="0"/>
  </r>
  <r>
    <x v="1"/>
    <x v="1"/>
    <x v="0"/>
    <n v="1950100"/>
    <n v="2460"/>
    <n v="37.700000000000003"/>
    <n v="29.93"/>
    <m/>
    <m/>
    <m/>
    <m/>
    <n v="1.9332341931183018E-5"/>
    <n v="1.5325203252032521E-2"/>
    <n v="1.2166666666666666E-2"/>
    <n v="0.38436007396433008"/>
    <n v="5.3999563016846129E-2"/>
    <n v="3.307854274216819E-2"/>
    <x v="1"/>
  </r>
  <r>
    <x v="2"/>
    <x v="1"/>
    <x v="0"/>
    <n v="2111500"/>
    <n v="1699"/>
    <n v="98.4"/>
    <n v="116.55"/>
    <m/>
    <m/>
    <m/>
    <m/>
    <n v="4.6601941747572818E-5"/>
    <n v="5.791642142436728E-2"/>
    <n v="6.8599175985874047E-2"/>
    <n v="1"/>
    <n v="0.23890060975968946"/>
    <n v="0.25503568043804398"/>
    <x v="2"/>
  </r>
  <r>
    <x v="3"/>
    <x v="0"/>
    <x v="0"/>
    <n v="2239191"/>
    <n v="372.39"/>
    <n v="22.6"/>
    <n v="26.6"/>
    <m/>
    <m/>
    <m/>
    <m/>
    <n v="1.0092930884413167E-5"/>
    <n v="6.0689062541958702E-2"/>
    <n v="7.1430489540535463E-2"/>
    <n v="0.17577064207879856"/>
    <n v="0.25093746305678305"/>
    <n v="0.26617164196258836"/>
    <x v="3"/>
  </r>
  <r>
    <x v="4"/>
    <x v="1"/>
    <x v="0"/>
    <n v="2668300"/>
    <n v="9596"/>
    <n v="27.7"/>
    <n v="36.046999999999997"/>
    <m/>
    <m/>
    <m/>
    <m/>
    <n v="1.0381141550800135E-5"/>
    <n v="2.8866194247603168E-3"/>
    <n v="3.756461025427261E-3"/>
    <n v="0.18227730130855818"/>
    <n v="0"/>
    <n v="0"/>
    <x v="3"/>
  </r>
  <r>
    <x v="5"/>
    <x v="0"/>
    <x v="0"/>
    <n v="2852372"/>
    <n v="251.01"/>
    <n v="38.799999999999997"/>
    <n v="48.3"/>
    <m/>
    <m/>
    <m/>
    <m/>
    <n v="1.360271381152248E-5"/>
    <n v="0.15457551491972432"/>
    <n v="0.19242261264491453"/>
    <n v="0.25500768685377012"/>
    <n v="0.65852625869487114"/>
    <n v="0.74205098264706548"/>
    <x v="0"/>
  </r>
  <r>
    <x v="6"/>
    <x v="0"/>
    <x v="0"/>
    <n v="3383258"/>
    <n v="172.65299999999999"/>
    <n v="39.4"/>
    <n v="40.96"/>
    <m/>
    <m/>
    <m/>
    <m/>
    <n v="1.1645579497632163E-5"/>
    <n v="0.22820339061585956"/>
    <n v="0.23723885481283269"/>
    <n v="0.21082331919315142"/>
    <n v="0.97816659465760936"/>
    <n v="0.91831967872099085"/>
    <x v="4"/>
  </r>
  <r>
    <x v="7"/>
    <x v="0"/>
    <x v="0"/>
    <n v="3611087"/>
    <n v="260.63"/>
    <n v="56.5"/>
    <n v="65.64"/>
    <m/>
    <m/>
    <m/>
    <m/>
    <n v="1.5646258315017057E-5"/>
    <n v="0.21678241184821395"/>
    <n v="0.25185128342861529"/>
    <n v="0.30114285551971637"/>
    <n v="0.92858475549957475"/>
    <n v="0.97579245229550404"/>
    <x v="4"/>
  </r>
  <r>
    <x v="8"/>
    <x v="1"/>
    <x v="0"/>
    <n v="3693100"/>
    <n v="1632"/>
    <n v="25.9"/>
    <n v="43.04"/>
    <m/>
    <m/>
    <m/>
    <m/>
    <n v="7.0130784435839806E-6"/>
    <n v="1.5870098039215685E-2"/>
    <n v="2.6372549019607842E-2"/>
    <n v="0.1062397306741779"/>
    <n v="5.636511208630969E-2"/>
    <n v="8.8952311666173636E-2"/>
    <x v="3"/>
  </r>
  <r>
    <x v="9"/>
    <x v="0"/>
    <x v="0"/>
    <n v="3887261"/>
    <n v="841.23999999996545"/>
    <n v="35.799999999999997"/>
    <n v="46.7"/>
    <m/>
    <m/>
    <m/>
    <m/>
    <n v="9.2095694114699262E-6"/>
    <n v="4.2556226522753871E-2"/>
    <n v="5.5513289905380056E-2"/>
    <n v="0.15582782679998103"/>
    <n v="0.17221747090250575"/>
    <n v="0.203567017185599"/>
    <x v="3"/>
  </r>
  <r>
    <x v="10"/>
    <x v="1"/>
    <x v="0"/>
    <n v="3889700.0000000005"/>
    <n v="3798"/>
    <n v="94.5"/>
    <n v="138.43"/>
    <m/>
    <m/>
    <m/>
    <m/>
    <n v="2.4294932771164868E-5"/>
    <n v="2.4881516587677725E-2"/>
    <n v="3.6448130595050025E-2"/>
    <n v="0.49639578692831265"/>
    <n v="9.5486339272312162E-2"/>
    <n v="0.1285810163629057"/>
    <x v="1"/>
  </r>
  <r>
    <x v="11"/>
    <x v="1"/>
    <x v="0"/>
    <n v="3992799.9999999995"/>
    <n v="1786"/>
    <n v="78.900000000000006"/>
    <n v="168.41"/>
    <m/>
    <m/>
    <m/>
    <m/>
    <n v="1.9760569024243642E-5"/>
    <n v="4.4176931690929455E-2"/>
    <n v="9.4294512877939524E-2"/>
    <n v="0.39402775143937174"/>
    <n v="0.1792534303072042"/>
    <n v="0.3560991188266136"/>
    <x v="1"/>
  </r>
  <r>
    <x v="12"/>
    <x v="0"/>
    <x v="0"/>
    <n v="4016371"/>
    <n v="384.43686323588486"/>
    <n v="31.4"/>
    <n v="26.2"/>
    <m/>
    <m/>
    <m/>
    <m/>
    <n v="7.8180028687588875E-6"/>
    <n v="8.1677911258820707E-2"/>
    <n v="6.815163296118161E-2"/>
    <n v="0.12441174701895566"/>
    <n v="0.3420562491401497"/>
    <n v="0.25327542965432281"/>
    <x v="5"/>
  </r>
  <r>
    <x v="13"/>
    <x v="0"/>
    <x v="0"/>
    <n v="4161237"/>
    <n v="433.98"/>
    <n v="38.299999999999997"/>
    <n v="44.15"/>
    <m/>
    <m/>
    <m/>
    <m/>
    <n v="9.2039939085420992E-6"/>
    <n v="8.8252914880870073E-2"/>
    <n v="0.10173279874648601"/>
    <n v="0.15570195395134334"/>
    <n v="0.37060028014522184"/>
    <n v="0.3853549619685086"/>
    <x v="5"/>
  </r>
  <r>
    <x v="14"/>
    <x v="1"/>
    <x v="0"/>
    <n v="4431100"/>
    <n v="2965"/>
    <n v="20.3"/>
    <n v="63.4"/>
    <m/>
    <m/>
    <m/>
    <m/>
    <n v="4.5812552187944301E-6"/>
    <n v="6.8465430016863412E-3"/>
    <n v="2.1382799325463744E-2"/>
    <n v="5.1338761084538109E-2"/>
    <n v="1.7191196819791477E-2"/>
    <n v="6.9326911816124021E-2"/>
    <x v="3"/>
  </r>
  <r>
    <x v="15"/>
    <x v="0"/>
    <x v="0"/>
    <n v="4515531"/>
    <n v="692.524"/>
    <n v="30.1"/>
    <n v="60.02"/>
    <m/>
    <m/>
    <m/>
    <m/>
    <n v="6.6658827057105804E-6"/>
    <n v="4.3464197630695832E-2"/>
    <n v="8.6668476471573552E-2"/>
    <n v="9.8401421354515226E-2"/>
    <n v="0.17615924142410538"/>
    <n v="0.32610482594222073"/>
    <x v="3"/>
  </r>
  <r>
    <x v="16"/>
    <x v="1"/>
    <x v="0"/>
    <n v="4621800"/>
    <n v="2525"/>
    <n v="76.8"/>
    <n v="135.26"/>
    <m/>
    <m/>
    <m/>
    <m/>
    <n v="1.6616902505517329E-5"/>
    <n v="3.0415841584158415E-2"/>
    <n v="5.3568316831683165E-2"/>
    <n v="0.32305617004101661"/>
    <n v="0.1195124772598152"/>
    <n v="0.19591715965593606"/>
    <x v="1"/>
  </r>
  <r>
    <x v="17"/>
    <x v="1"/>
    <x v="0"/>
    <n v="4701400"/>
    <n v="2838"/>
    <n v="54"/>
    <n v="71.63"/>
    <m/>
    <m/>
    <m/>
    <m/>
    <n v="1.1485940358191178E-5"/>
    <n v="1.9027484143763214E-2"/>
    <n v="2.5239605355884424E-2"/>
    <n v="0.20721929754781807"/>
    <n v="7.007225690991932E-2"/>
    <n v="8.4496282051252009E-2"/>
    <x v="3"/>
  </r>
  <r>
    <x v="18"/>
    <x v="0"/>
    <x v="1"/>
    <n v="5609654"/>
    <n v="603"/>
    <n v="27.9"/>
    <n v="36.6"/>
    <m/>
    <m/>
    <m/>
    <m/>
    <n v="4.9735687798213573E-6"/>
    <n v="4.6268656716417909E-2"/>
    <n v="6.0696517412935323E-2"/>
    <n v="6.019565276317012E-2"/>
    <n v="0.18833422591032781"/>
    <n v="0.22395339297293132"/>
    <x v="3"/>
  </r>
  <r>
    <x v="19"/>
    <x v="0"/>
    <x v="1"/>
    <n v="5842259"/>
    <n v="662"/>
    <n v="154.4"/>
    <n v="170.8"/>
    <m/>
    <m/>
    <m/>
    <m/>
    <n v="2.6428133364166158E-5"/>
    <n v="0.23323262839879155"/>
    <n v="0.25800604229607255"/>
    <n v="0.54455503620725665"/>
    <n v="1"/>
    <n v="1"/>
    <x v="4"/>
  </r>
  <r>
    <x v="20"/>
    <x v="1"/>
    <x v="1"/>
    <n v="6257300"/>
    <n v="3303"/>
    <n v="84.25"/>
    <n v="90.09"/>
    <m/>
    <m/>
    <m/>
    <m/>
    <n v="1.3464273728285362E-5"/>
    <n v="2.5507114744171965E-2"/>
    <n v="2.7275204359673025E-2"/>
    <n v="0.25188225622118537"/>
    <n v="9.8202245483497125E-2"/>
    <n v="9.2502584337436439E-2"/>
    <x v="3"/>
  </r>
  <r>
    <x v="21"/>
    <x v="1"/>
    <x v="1"/>
    <n v="8282700"/>
    <n v="1909"/>
    <n v="142.6"/>
    <n v="230.6"/>
    <m/>
    <m/>
    <m/>
    <m/>
    <n v="1.7216608110881718E-5"/>
    <n v="7.4698795180722893E-2"/>
    <n v="0.12079622839182817"/>
    <n v="0.33659515546858448"/>
    <n v="0.31175784670989692"/>
    <n v="0.46033415977119602"/>
    <x v="5"/>
  </r>
  <r>
    <x v="22"/>
    <x v="1"/>
    <x v="1"/>
    <n v="8705600"/>
    <n v="3874"/>
    <n v="256.2"/>
    <n v="338.42"/>
    <m/>
    <m/>
    <m/>
    <m/>
    <n v="2.9429332843227347E-5"/>
    <n v="6.6133195663396996E-2"/>
    <n v="8.7356737222509043E-2"/>
    <n v="0.61231027419197492"/>
    <n v="0.27457205149912961"/>
    <n v="0.3288118540029783"/>
    <x v="6"/>
  </r>
  <r>
    <x v="23"/>
    <x v="0"/>
    <x v="1"/>
    <n v="9752000"/>
    <n v="798.6"/>
    <n v="22.5"/>
    <n v="53.8"/>
    <m/>
    <m/>
    <m/>
    <m/>
    <n v="2.3072190319934373E-6"/>
    <n v="2.8174305033809164E-2"/>
    <n v="6.7367893814174795E-2"/>
    <n v="0"/>
    <n v="0.1097813056179312"/>
    <n v="0.25019287139369567"/>
    <x v="3"/>
  </r>
  <r>
    <x v="24"/>
    <x v="0"/>
    <x v="2"/>
    <n v="12156624"/>
    <n v="900"/>
    <n v="161.30000000000001"/>
    <n v="63.6"/>
    <m/>
    <m/>
    <m/>
    <m/>
    <n v="1.3268486382403536E-5"/>
    <n v="0.17922222222222223"/>
    <n v="7.0666666666666669E-2"/>
    <n v="0.24746215075762948"/>
    <n v="0.7655248883315432"/>
    <n v="0.26316741725530862"/>
    <x v="5"/>
  </r>
  <r>
    <x v="25"/>
    <x v="1"/>
    <x v="2"/>
    <n v="14390000"/>
    <n v="11917"/>
    <n v="256.2"/>
    <n v="231.58"/>
    <m/>
    <m/>
    <m/>
    <m/>
    <n v="1.7804030576789436E-5"/>
    <n v="2.149869933708148E-2"/>
    <n v="1.9432743140052028E-2"/>
    <n v="0.3498568360908928"/>
    <n v="8.0800531319036015E-2"/>
    <n v="6.1657061680418561E-2"/>
    <x v="1"/>
  </r>
  <r>
    <x v="26"/>
    <x v="1"/>
    <x v="2"/>
    <n v="14657500"/>
    <n v="3240"/>
    <n v="439.7"/>
    <n v="448.32"/>
    <m/>
    <m/>
    <m/>
    <m/>
    <n v="2.9998294388538289E-5"/>
    <n v="0.13570987654320987"/>
    <n v="0.13837037037037037"/>
    <n v="0.62515518009564885"/>
    <n v="0.57662495525773916"/>
    <n v="0.52945577598276705"/>
    <x v="6"/>
  </r>
  <r>
    <x v="27"/>
    <x v="0"/>
    <x v="2"/>
    <n v="15769937.907311"/>
    <n v="3883"/>
    <n v="57"/>
    <n v="73.400000000000006"/>
    <m/>
    <m/>
    <m/>
    <m/>
    <n v="3.6144720629226192E-6"/>
    <n v="1.4679371619881535E-2"/>
    <n v="1.8902910121040433E-2"/>
    <n v="2.9512613484978283E-2"/>
    <n v="5.1195817316942137E-2"/>
    <n v="5.9573152568892451E-2"/>
    <x v="3"/>
  </r>
  <r>
    <x v="28"/>
    <x v="0"/>
    <x v="2"/>
    <n v="20392950"/>
    <n v="2608.5744249999998"/>
    <n v="225.1"/>
    <n v="206.8"/>
    <m/>
    <m/>
    <m/>
    <m/>
    <n v="1.1038128372795501E-5"/>
    <n v="8.6292343374485089E-2"/>
    <n v="7.9277017369362587E-2"/>
    <n v="0.19710947050880215"/>
    <n v="0.36208886067189372"/>
    <n v="0.29703315917576556"/>
    <x v="5"/>
  </r>
  <r>
    <x v="29"/>
    <x v="0"/>
    <x v="2"/>
    <n v="20935204"/>
    <n v="2209"/>
    <n v="288.10000000000002"/>
    <n v="126.1"/>
    <m/>
    <m/>
    <m/>
    <m/>
    <n v="1.3761509082978127E-5"/>
    <n v="0.1304210049796288"/>
    <n v="5.7084653689452237E-2"/>
    <n v="0.2585926572908871"/>
    <n v="0.55366440305569375"/>
    <n v="0.20974741589547724"/>
    <x v="5"/>
  </r>
  <r>
    <x v="30"/>
    <x v="1"/>
    <x v="2"/>
    <n v="21883000"/>
    <n v="16411"/>
    <n v="721.6"/>
    <n v="623.36"/>
    <m/>
    <m/>
    <m/>
    <m/>
    <n v="3.2975369007905682E-5"/>
    <n v="4.3970507586374996E-2"/>
    <n v="3.798427883736518E-2"/>
    <n v="0.69236577397346732"/>
    <n v="0.17835728235363696"/>
    <n v="0.13462290730580542"/>
    <x v="1"/>
  </r>
  <r>
    <x v="31"/>
    <x v="1"/>
    <x v="2"/>
    <n v="24152700"/>
    <n v="6341"/>
    <n v="940.2"/>
    <n v="438.85"/>
    <m/>
    <m/>
    <m/>
    <m/>
    <n v="3.8927324895353319E-5"/>
    <n v="0.14827314303737582"/>
    <n v="6.920832676234033E-2"/>
    <n v="0.82673744451457698"/>
    <n v="0.63116580252539167"/>
    <n v="0.25743155764429926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2668300"/>
    <n v="9596"/>
    <n v="27.7"/>
    <n v="10.56"/>
    <n v="36.046999999999997"/>
    <n v="1.0381141550800135E-5"/>
    <n v="2.8866194247603168E-3"/>
    <n v="1.1004585243851606E-3"/>
    <n v="3.756461025427261E-3"/>
    <n v="0.18227730130855818"/>
    <n v="0"/>
    <n v="0.18227730130855818"/>
    <n v="0"/>
    <n v="0"/>
    <x v="0"/>
    <n v="5"/>
  </r>
  <r>
    <x v="1"/>
    <x v="0"/>
    <x v="0"/>
    <n v="4431100"/>
    <n v="2965"/>
    <n v="20.3"/>
    <n v="17.579999999999998"/>
    <n v="63.4"/>
    <n v="4.5812552187944301E-6"/>
    <n v="6.8465430016863412E-3"/>
    <n v="5.9291736930860029E-3"/>
    <n v="2.1382799325463744E-2"/>
    <n v="5.1338761084538109E-2"/>
    <n v="1.7191196819791477E-2"/>
    <n v="6.8529957904329586E-2"/>
    <n v="5.3151478263815249E-2"/>
    <n v="6.9326911816124021E-2"/>
    <x v="0"/>
    <n v="5"/>
  </r>
  <r>
    <x v="2"/>
    <x v="1"/>
    <x v="1"/>
    <n v="15769937.907311"/>
    <n v="3883"/>
    <n v="57"/>
    <n v="39.28"/>
    <n v="73.400000000000006"/>
    <n v="3.6144720629226192E-6"/>
    <n v="1.4679371619881535E-2"/>
    <n v="1.0115889775946433E-2"/>
    <n v="1.8902910121040433E-2"/>
    <n v="2.9512613484978283E-2"/>
    <n v="5.1195817316942137E-2"/>
    <n v="8.0708430801920417E-2"/>
    <n v="9.9236231888824203E-2"/>
    <n v="5.9573152568892451E-2"/>
    <x v="0"/>
    <n v="5"/>
  </r>
  <r>
    <x v="3"/>
    <x v="0"/>
    <x v="0"/>
    <n v="1950100"/>
    <n v="2460"/>
    <n v="37.700000000000003"/>
    <n v="7.55"/>
    <n v="29.93"/>
    <n v="1.9332341931183018E-5"/>
    <n v="1.5325203252032521E-2"/>
    <n v="3.0691056910569104E-3"/>
    <n v="1.2166666666666666E-2"/>
    <n v="0.38436007396433008"/>
    <n v="5.3999563016846129E-2"/>
    <n v="0.43835963698117619"/>
    <n v="2.166963745691947E-2"/>
    <n v="3.307854274216819E-2"/>
    <x v="1"/>
    <n v="2"/>
  </r>
  <r>
    <x v="4"/>
    <x v="0"/>
    <x v="0"/>
    <n v="3693100"/>
    <n v="1632"/>
    <n v="25.9"/>
    <n v="13.43"/>
    <n v="43.04"/>
    <n v="7.0130784435839806E-6"/>
    <n v="1.5870098039215685E-2"/>
    <n v="8.2291666666666659E-3"/>
    <n v="2.6372549019607842E-2"/>
    <n v="0.1062397306741779"/>
    <n v="5.636511208630969E-2"/>
    <n v="0.16260484276048759"/>
    <n v="7.8468363246925785E-2"/>
    <n v="8.8952311666173636E-2"/>
    <x v="0"/>
    <n v="5"/>
  </r>
  <r>
    <x v="5"/>
    <x v="0"/>
    <x v="0"/>
    <n v="4701400"/>
    <n v="2838"/>
    <n v="54"/>
    <n v="20.88"/>
    <n v="71.63"/>
    <n v="1.1485940358191178E-5"/>
    <n v="1.9027484143763214E-2"/>
    <n v="7.3572938689217757E-3"/>
    <n v="2.5239605355884424E-2"/>
    <n v="0.20721929754781807"/>
    <n v="7.007225690991932E-2"/>
    <n v="0.2772915544577374"/>
    <n v="6.8871332475981095E-2"/>
    <n v="8.4496282051252009E-2"/>
    <x v="0"/>
    <n v="5"/>
  </r>
  <r>
    <x v="6"/>
    <x v="0"/>
    <x v="1"/>
    <n v="14390000"/>
    <n v="11917"/>
    <n v="256.2"/>
    <n v="107.9"/>
    <n v="231.58"/>
    <n v="1.7804030576789436E-5"/>
    <n v="2.149869933708148E-2"/>
    <n v="9.0542921876311157E-3"/>
    <n v="1.9432743140052028E-2"/>
    <n v="0.3498568360908928"/>
    <n v="8.0800531319036015E-2"/>
    <n v="0.43065736740992883"/>
    <n v="8.7550829215665191E-2"/>
    <n v="6.1657061680418561E-2"/>
    <x v="1"/>
    <n v="2"/>
  </r>
  <r>
    <x v="7"/>
    <x v="0"/>
    <x v="0"/>
    <n v="3889700.0000000005"/>
    <n v="3798"/>
    <n v="94.5"/>
    <n v="38.19"/>
    <n v="138.43"/>
    <n v="2.4294932771164868E-5"/>
    <n v="2.4881516587677725E-2"/>
    <n v="1.0055292259083727E-2"/>
    <n v="3.6448130595050025E-2"/>
    <n v="0.49639578692831265"/>
    <n v="9.5486339272312162E-2"/>
    <n v="0.59188212620062486"/>
    <n v="9.8569212301243964E-2"/>
    <n v="0.1285810163629057"/>
    <x v="1"/>
    <n v="2"/>
  </r>
  <r>
    <x v="8"/>
    <x v="0"/>
    <x v="2"/>
    <n v="6257300"/>
    <n v="3303"/>
    <n v="84.25"/>
    <n v="24.66"/>
    <n v="90.09"/>
    <n v="1.3464273728285362E-5"/>
    <n v="2.5507114744171965E-2"/>
    <n v="7.4659400544959129E-3"/>
    <n v="2.7275204359673025E-2"/>
    <n v="0.25188225622118537"/>
    <n v="9.8202245483497125E-2"/>
    <n v="0.35008450170468253"/>
    <n v="7.0067241774674285E-2"/>
    <n v="9.2502584337436439E-2"/>
    <x v="0"/>
    <n v="5"/>
  </r>
  <r>
    <x v="9"/>
    <x v="1"/>
    <x v="2"/>
    <n v="9752000"/>
    <n v="798.6"/>
    <n v="22.5"/>
    <n v="15.48"/>
    <n v="53.8"/>
    <n v="2.3072190319934373E-6"/>
    <n v="2.8174305033809164E-2"/>
    <n v="1.9383921863260708E-2"/>
    <n v="6.7367893814174795E-2"/>
    <n v="0"/>
    <n v="0.1097813056179312"/>
    <n v="0.1097813056179312"/>
    <n v="0.20125293588293505"/>
    <n v="0.25019287139369567"/>
    <x v="0"/>
    <n v="5"/>
  </r>
  <r>
    <x v="10"/>
    <x v="0"/>
    <x v="0"/>
    <n v="4621800"/>
    <n v="2525"/>
    <n v="76.8"/>
    <n v="40.619999999999997"/>
    <n v="135.26"/>
    <n v="1.6616902505517329E-5"/>
    <n v="3.0415841584158415E-2"/>
    <n v="1.6087128712871285E-2"/>
    <n v="5.3568316831683165E-2"/>
    <n v="0.32305617004101661"/>
    <n v="0.1195124772598152"/>
    <n v="0.44256864730083179"/>
    <n v="0.16496389762923258"/>
    <n v="0.19591715965593606"/>
    <x v="1"/>
    <n v="2"/>
  </r>
  <r>
    <x v="11"/>
    <x v="1"/>
    <x v="0"/>
    <n v="3887261"/>
    <n v="841.23999999996545"/>
    <n v="35.799999999999997"/>
    <n v="14.6"/>
    <n v="46.7"/>
    <n v="9.2095694114699262E-6"/>
    <n v="4.2556226522753871E-2"/>
    <n v="1.735533260425158E-2"/>
    <n v="5.5513289905380056E-2"/>
    <n v="0.15582782679998103"/>
    <n v="0.17221747090250575"/>
    <n v="0.3280452977024868"/>
    <n v="0.17892349334192015"/>
    <n v="0.203567017185599"/>
    <x v="0"/>
    <n v="5"/>
  </r>
  <r>
    <x v="12"/>
    <x v="1"/>
    <x v="0"/>
    <n v="4515531"/>
    <n v="692.524"/>
    <n v="30.1"/>
    <n v="22.15"/>
    <n v="60.02"/>
    <n v="6.6658827057105804E-6"/>
    <n v="4.3464197630695832E-2"/>
    <n v="3.198445108039577E-2"/>
    <n v="8.6668476471573552E-2"/>
    <n v="9.8401421354515226E-2"/>
    <n v="0.17615924142410538"/>
    <n v="0.27456066277862062"/>
    <n v="0.33995168521863361"/>
    <n v="0.32610482594222073"/>
    <x v="0"/>
    <n v="5"/>
  </r>
  <r>
    <x v="13"/>
    <x v="0"/>
    <x v="1"/>
    <n v="21883000"/>
    <n v="16411"/>
    <n v="721.6"/>
    <n v="188.41"/>
    <n v="623.36"/>
    <n v="3.2975369007905682E-5"/>
    <n v="4.3970507586374996E-2"/>
    <n v="1.1480714155139845E-2"/>
    <n v="3.798427883736518E-2"/>
    <n v="0.69236577397346732"/>
    <n v="0.17835728235363696"/>
    <n v="0.87072305632710423"/>
    <n v="0.1142593655362249"/>
    <n v="0.13462290730580542"/>
    <x v="1"/>
    <n v="2"/>
  </r>
  <r>
    <x v="14"/>
    <x v="0"/>
    <x v="0"/>
    <n v="3992799.9999999995"/>
    <n v="1786"/>
    <n v="78.900000000000006"/>
    <n v="53.62"/>
    <n v="168.41"/>
    <n v="1.9760569024243642E-5"/>
    <n v="4.4176931690929455E-2"/>
    <n v="3.0022396416573349E-2"/>
    <n v="9.4294512877939524E-2"/>
    <n v="0.39402775143937174"/>
    <n v="0.1792534303072042"/>
    <n v="0.57328118174657594"/>
    <n v="0.31835461391226516"/>
    <n v="0.3560991188266136"/>
    <x v="1"/>
    <n v="2"/>
  </r>
  <r>
    <x v="15"/>
    <x v="1"/>
    <x v="2"/>
    <n v="5609654"/>
    <n v="603"/>
    <n v="27.9"/>
    <n v="10.48"/>
    <n v="36.6"/>
    <n v="4.9735687798213573E-6"/>
    <n v="4.6268656716417909E-2"/>
    <n v="1.7379767827529022E-2"/>
    <n v="6.0696517412935323E-2"/>
    <n v="6.019565276317012E-2"/>
    <n v="0.18833422591032781"/>
    <n v="0.24852987867349793"/>
    <n v="0.17919246100589023"/>
    <n v="0.22395339297293132"/>
    <x v="0"/>
    <n v="5"/>
  </r>
  <r>
    <x v="16"/>
    <x v="0"/>
    <x v="0"/>
    <n v="2111500"/>
    <n v="1699"/>
    <n v="98.4"/>
    <n v="37.75"/>
    <n v="116.55"/>
    <n v="4.6601941747572818E-5"/>
    <n v="5.791642142436728E-2"/>
    <n v="2.2218952324896998E-2"/>
    <n v="6.8599175985874047E-2"/>
    <n v="1"/>
    <n v="0.23890060975968946"/>
    <n v="1.2389006097596895"/>
    <n v="0.23245917909554878"/>
    <n v="0.25503568043804398"/>
    <x v="2"/>
    <n v="3"/>
  </r>
  <r>
    <x v="17"/>
    <x v="1"/>
    <x v="0"/>
    <n v="2239191"/>
    <n v="372.39"/>
    <n v="22.6"/>
    <n v="7.54"/>
    <n v="26.6"/>
    <n v="1.0092930884413167E-5"/>
    <n v="6.0689062541958702E-2"/>
    <n v="2.0247589892317196E-2"/>
    <n v="7.1430489540535463E-2"/>
    <n v="0.17577064207879856"/>
    <n v="0.25093746305678305"/>
    <n v="0.42670810513558161"/>
    <n v="0.2107596536887606"/>
    <n v="0.26617164196258836"/>
    <x v="0"/>
    <n v="5"/>
  </r>
  <r>
    <x v="18"/>
    <x v="0"/>
    <x v="2"/>
    <n v="8705600"/>
    <n v="3874"/>
    <n v="256.2"/>
    <n v="98.89"/>
    <n v="338.42"/>
    <n v="2.9429332843227347E-5"/>
    <n v="6.6133195663396996E-2"/>
    <n v="2.5526587506453279E-2"/>
    <n v="8.7356737222509043E-2"/>
    <n v="0.61231027419197492"/>
    <n v="0.27457205149912961"/>
    <n v="0.88688232569110448"/>
    <n v="0.2688675596512442"/>
    <n v="0.3288118540029783"/>
    <x v="1"/>
    <n v="4"/>
  </r>
  <r>
    <x v="19"/>
    <x v="0"/>
    <x v="2"/>
    <n v="8282700"/>
    <n v="1909"/>
    <n v="142.6"/>
    <n v="70.66"/>
    <n v="230.6"/>
    <n v="1.7216608110881718E-5"/>
    <n v="7.4698795180722893E-2"/>
    <n v="3.7014143530644313E-2"/>
    <n v="0.12079622839182817"/>
    <n v="0.33659515546858448"/>
    <n v="0.31175784670989692"/>
    <n v="0.64835300217848135"/>
    <n v="0.39531539577168062"/>
    <n v="0.46033415977119602"/>
    <x v="1"/>
    <n v="7"/>
  </r>
  <r>
    <x v="20"/>
    <x v="1"/>
    <x v="0"/>
    <n v="4016371"/>
    <n v="384.43686323588486"/>
    <n v="31.4"/>
    <n v="7"/>
    <n v="26.2"/>
    <n v="7.8180028687588875E-6"/>
    <n v="8.1677911258820707E-2"/>
    <n v="1.8208451554514171E-2"/>
    <n v="6.815163296118161E-2"/>
    <n v="0.12441174701895566"/>
    <n v="0.3420562491401497"/>
    <n v="0.46646799615910539"/>
    <n v="0.18831409348235684"/>
    <n v="0.25327542965432281"/>
    <x v="0"/>
    <n v="7"/>
  </r>
  <r>
    <x v="21"/>
    <x v="1"/>
    <x v="1"/>
    <n v="20392950"/>
    <n v="2608.5744249999998"/>
    <n v="225.1"/>
    <n v="72.81"/>
    <n v="206.8"/>
    <n v="1.1038128372795501E-5"/>
    <n v="8.6292343374485089E-2"/>
    <n v="2.7911797072839892E-2"/>
    <n v="7.9277017369362587E-2"/>
    <n v="0.19710947050880215"/>
    <n v="0.36208886067189372"/>
    <n v="0.55919833118069584"/>
    <n v="0.29512245562112832"/>
    <n v="0.29703315917576556"/>
    <x v="0"/>
    <n v="7"/>
  </r>
  <r>
    <x v="22"/>
    <x v="1"/>
    <x v="0"/>
    <n v="4161237"/>
    <n v="433.98"/>
    <n v="38.299999999999997"/>
    <n v="11.53"/>
    <n v="44.15"/>
    <n v="9.2039939085420992E-6"/>
    <n v="8.8252914880870073E-2"/>
    <n v="2.6568044610350706E-2"/>
    <n v="0.10173279874648601"/>
    <n v="0.15570195395134334"/>
    <n v="0.37060028014522184"/>
    <n v="0.52630223409656518"/>
    <n v="0.2803312684612615"/>
    <n v="0.3853549619685086"/>
    <x v="0"/>
    <n v="7"/>
  </r>
  <r>
    <x v="23"/>
    <x v="1"/>
    <x v="0"/>
    <n v="1771384"/>
    <n v="287"/>
    <n v="36.799999999999997"/>
    <n v="16.690000000000001"/>
    <n v="54.16"/>
    <n v="2.0774716267054458E-5"/>
    <n v="0.12822299651567942"/>
    <n v="5.8153310104529621E-2"/>
    <n v="0.1887108013937282"/>
    <n v="0.41692319316778603"/>
    <n v="0.54412219968199793"/>
    <n v="0.96104539284978396"/>
    <n v="0.62800212783447307"/>
    <n v="0.72745189763525908"/>
    <x v="3"/>
    <n v="6"/>
  </r>
  <r>
    <x v="24"/>
    <x v="1"/>
    <x v="1"/>
    <n v="20935204"/>
    <n v="2209"/>
    <n v="288.10000000000002"/>
    <n v="42.33"/>
    <n v="126.1"/>
    <n v="1.3761509082978127E-5"/>
    <n v="0.1304210049796288"/>
    <n v="1.9162516976007241E-2"/>
    <n v="5.7084653689452237E-2"/>
    <n v="0.2585926572908871"/>
    <n v="0.55366440305569375"/>
    <n v="0.81225706034658085"/>
    <n v="0.19881584927889723"/>
    <n v="0.20974741589547724"/>
    <x v="4"/>
    <n v="7"/>
  </r>
  <r>
    <x v="25"/>
    <x v="0"/>
    <x v="1"/>
    <n v="14657500"/>
    <n v="3240"/>
    <n v="439.7"/>
    <n v="142.80000000000001"/>
    <n v="448.32"/>
    <n v="2.9998294388538289E-5"/>
    <n v="0.13570987654320987"/>
    <n v="4.4074074074074078E-2"/>
    <n v="0.13837037037037037"/>
    <n v="0.62515518009564885"/>
    <n v="0.57662495525773916"/>
    <n v="1.2017801353533879"/>
    <n v="0.4730266982016626"/>
    <n v="0.52945577598276705"/>
    <x v="5"/>
    <n v="4"/>
  </r>
  <r>
    <x v="26"/>
    <x v="0"/>
    <x v="1"/>
    <n v="24152700"/>
    <n v="6341"/>
    <n v="940.2"/>
    <n v="135.63"/>
    <n v="438.85"/>
    <n v="3.8927324895353319E-5"/>
    <n v="0.14827314303737582"/>
    <n v="2.1389370761709509E-2"/>
    <n v="6.920832676234033E-2"/>
    <n v="0.82673744451457698"/>
    <n v="0.63116580252539167"/>
    <n v="1.4579032470399687"/>
    <n v="0.22332766379938249"/>
    <n v="0.25743155764429926"/>
    <x v="5"/>
    <n v="4"/>
  </r>
  <r>
    <x v="27"/>
    <x v="1"/>
    <x v="0"/>
    <n v="2852372"/>
    <n v="251.01"/>
    <n v="38.799999999999997"/>
    <n v="14.6"/>
    <n v="48.3"/>
    <n v="1.360271381152248E-5"/>
    <n v="0.15457551491972432"/>
    <n v="5.8165013346081831E-2"/>
    <n v="0.19242261264491453"/>
    <n v="0.25500768685377012"/>
    <n v="0.65852625869487114"/>
    <n v="0.91353394554864131"/>
    <n v="0.62813094980206619"/>
    <n v="0.74205098264706548"/>
    <x v="3"/>
    <n v="6"/>
  </r>
  <r>
    <x v="28"/>
    <x v="1"/>
    <x v="1"/>
    <n v="12156624"/>
    <n v="900"/>
    <n v="161.30000000000001"/>
    <n v="20.18"/>
    <n v="63.6"/>
    <n v="1.3268486382403536E-5"/>
    <n v="0.17922222222222223"/>
    <n v="2.2422222222222222E-2"/>
    <n v="7.0666666666666669E-2"/>
    <n v="0.24746215075762948"/>
    <n v="0.7655248883315432"/>
    <n v="1.0129870390891726"/>
    <n v="0.23469664706620072"/>
    <n v="0.26316741725530862"/>
    <x v="4"/>
    <n v="7"/>
  </r>
  <r>
    <x v="29"/>
    <x v="1"/>
    <x v="0"/>
    <n v="3611087"/>
    <n v="260.63"/>
    <n v="56.5"/>
    <n v="22.33"/>
    <n v="65.64"/>
    <n v="1.5646258315017057E-5"/>
    <n v="0.21678241184821395"/>
    <n v="8.5677013390630385E-2"/>
    <n v="0.25185128342861529"/>
    <n v="0.30114285551971637"/>
    <n v="0.92858475549957475"/>
    <n v="1.2297276110192912"/>
    <n v="0.93096584920561432"/>
    <n v="0.97579245229550404"/>
    <x v="6"/>
    <n v="1"/>
  </r>
  <r>
    <x v="30"/>
    <x v="1"/>
    <x v="0"/>
    <n v="3383258"/>
    <n v="172.65299999999999"/>
    <n v="39.4"/>
    <n v="12.96"/>
    <n v="40.96"/>
    <n v="1.1645579497632163E-5"/>
    <n v="0.22820339061585956"/>
    <n v="7.5063856405622853E-2"/>
    <n v="0.23723885481283269"/>
    <n v="0.21082331919315142"/>
    <n v="0.97816659465760936"/>
    <n v="1.1889899138507607"/>
    <n v="0.81414285114278628"/>
    <n v="0.91831967872099085"/>
    <x v="6"/>
    <n v="1"/>
  </r>
  <r>
    <x v="31"/>
    <x v="1"/>
    <x v="2"/>
    <n v="5842259"/>
    <n v="662"/>
    <n v="154.4"/>
    <n v="60.87"/>
    <n v="170.8"/>
    <n v="2.6428133364166158E-5"/>
    <n v="0.23323262839879155"/>
    <n v="9.1948640483383678E-2"/>
    <n v="0.25800604229607255"/>
    <n v="0.54455503620725665"/>
    <n v="1"/>
    <n v="1.5445550362072566"/>
    <n v="1"/>
    <n v="1"/>
    <x v="6"/>
    <n v="1"/>
  </r>
  <r>
    <x v="32"/>
    <x v="2"/>
    <x v="3"/>
    <n v="251284920.90731099"/>
    <m/>
    <m/>
    <m/>
    <m/>
    <m/>
    <m/>
    <m/>
    <m/>
    <m/>
    <m/>
    <m/>
    <m/>
    <m/>
    <x v="7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Beijing"/>
    <x v="0"/>
    <x v="0"/>
    <n v="21883000"/>
    <n v="16411"/>
    <n v="721.6"/>
    <x v="0"/>
    <n v="623.36"/>
    <n v="3.2975369007905682E-5"/>
    <n v="4.3970507586374996E-2"/>
    <n v="1.1480714155139845E-2"/>
    <n v="3.798427883736518E-2"/>
    <n v="0.69236577397346732"/>
    <n v="0.17835728235363696"/>
    <n v="0.87072305632710423"/>
    <n v="0.1142593655362249"/>
    <n v="0.13462290730580542"/>
    <n v="2"/>
    <n v="2"/>
  </r>
  <r>
    <s v="Belo Horizonte"/>
    <x v="1"/>
    <x v="1"/>
    <n v="5609654"/>
    <n v="603"/>
    <n v="27.9"/>
    <x v="1"/>
    <n v="36.6"/>
    <n v="4.9735687798213573E-6"/>
    <n v="4.6268656716417909E-2"/>
    <n v="1.7379767827529022E-2"/>
    <n v="6.0696517412935323E-2"/>
    <n v="6.019565276317012E-2"/>
    <n v="0.18833422591032781"/>
    <n v="0.24852987867349793"/>
    <n v="0.17919246100589023"/>
    <n v="0.22395339297293132"/>
    <n v="5"/>
    <n v="5"/>
  </r>
  <r>
    <s v="Brasilia"/>
    <x v="1"/>
    <x v="2"/>
    <n v="2852372"/>
    <n v="251.01"/>
    <n v="38.799999999999997"/>
    <x v="2"/>
    <n v="48.3"/>
    <n v="1.360271381152248E-5"/>
    <n v="0.15457551491972432"/>
    <n v="5.8165013346081831E-2"/>
    <n v="0.19242261264491453"/>
    <n v="0.25500768685377012"/>
    <n v="0.65852625869487114"/>
    <n v="0.91353394554864131"/>
    <n v="0.62813094980206619"/>
    <n v="0.74205098264706548"/>
    <n v="6"/>
    <n v="6"/>
  </r>
  <r>
    <s v="Buenos Aires"/>
    <x v="1"/>
    <x v="0"/>
    <n v="15769937.907311"/>
    <n v="3883"/>
    <n v="57"/>
    <x v="3"/>
    <n v="73.400000000000006"/>
    <n v="3.6144720629226192E-6"/>
    <n v="1.4679371619881535E-2"/>
    <n v="1.0115889775946433E-2"/>
    <n v="1.8902910121040433E-2"/>
    <n v="2.9512613484978283E-2"/>
    <n v="5.1195817316942137E-2"/>
    <n v="8.0708430801920417E-2"/>
    <n v="9.9236231888824203E-2"/>
    <n v="5.9573152568892451E-2"/>
    <n v="5"/>
    <n v="5"/>
  </r>
  <r>
    <s v="Caracas"/>
    <x v="1"/>
    <x v="2"/>
    <n v="3611087"/>
    <n v="260.63"/>
    <n v="56.5"/>
    <x v="4"/>
    <n v="65.64"/>
    <n v="1.5646258315017057E-5"/>
    <n v="0.21678241184821395"/>
    <n v="8.5677013390630385E-2"/>
    <n v="0.25185128342861529"/>
    <n v="0.30114285551971637"/>
    <n v="0.92858475549957475"/>
    <n v="1.2297276110192912"/>
    <n v="0.93096584920561432"/>
    <n v="0.97579245229550404"/>
    <n v="1"/>
    <n v="1"/>
  </r>
  <r>
    <s v="Changsha"/>
    <x v="0"/>
    <x v="1"/>
    <n v="8282700"/>
    <n v="1909"/>
    <n v="142.6"/>
    <x v="5"/>
    <n v="230.6"/>
    <n v="1.7216608110881718E-5"/>
    <n v="7.4698795180722893E-2"/>
    <n v="3.7014143530644313E-2"/>
    <n v="0.12079622839182817"/>
    <n v="0.33659515546858448"/>
    <n v="0.31175784670989692"/>
    <n v="0.64835300217848135"/>
    <n v="0.39531539577168062"/>
    <n v="0.46033415977119602"/>
    <n v="2"/>
    <n v="7"/>
  </r>
  <r>
    <s v="Changzhou"/>
    <x v="0"/>
    <x v="2"/>
    <n v="4701400"/>
    <n v="2838"/>
    <n v="54"/>
    <x v="6"/>
    <n v="71.63"/>
    <n v="1.1485940358191178E-5"/>
    <n v="1.9027484143763214E-2"/>
    <n v="7.3572938689217757E-3"/>
    <n v="2.5239605355884424E-2"/>
    <n v="0.20721929754781807"/>
    <n v="7.007225690991932E-2"/>
    <n v="0.2772915544577374"/>
    <n v="6.8871332475981095E-2"/>
    <n v="8.4496282051252009E-2"/>
    <n v="5"/>
    <n v="5"/>
  </r>
  <r>
    <s v="Chengdu"/>
    <x v="0"/>
    <x v="0"/>
    <n v="14657500"/>
    <n v="3240"/>
    <n v="439.7"/>
    <x v="7"/>
    <n v="448.32"/>
    <n v="2.9998294388538289E-5"/>
    <n v="0.13570987654320987"/>
    <n v="4.4074074074074078E-2"/>
    <n v="0.13837037037037037"/>
    <n v="0.62515518009564885"/>
    <n v="0.57662495525773916"/>
    <n v="1.2017801353533879"/>
    <n v="0.4730266982016626"/>
    <n v="0.52945577598276705"/>
    <n v="4"/>
    <n v="4"/>
  </r>
  <r>
    <s v="Ciudad de Mexico"/>
    <x v="1"/>
    <x v="0"/>
    <n v="20392950"/>
    <n v="2608.5744249999998"/>
    <n v="225.1"/>
    <x v="8"/>
    <n v="206.8"/>
    <n v="1.1038128372795501E-5"/>
    <n v="8.6292343374485089E-2"/>
    <n v="2.7911797072839892E-2"/>
    <n v="7.9277017369362587E-2"/>
    <n v="0.19710947050880215"/>
    <n v="0.36208886067189372"/>
    <n v="0.55919833118069584"/>
    <n v="0.29512245562112832"/>
    <n v="0.29703315917576556"/>
    <n v="5"/>
    <n v="7"/>
  </r>
  <r>
    <s v="Dongguan"/>
    <x v="0"/>
    <x v="2"/>
    <n v="1950100"/>
    <n v="2460"/>
    <n v="37.700000000000003"/>
    <x v="9"/>
    <n v="29.93"/>
    <n v="1.9332341931183018E-5"/>
    <n v="1.5325203252032521E-2"/>
    <n v="3.0691056910569104E-3"/>
    <n v="1.2166666666666666E-2"/>
    <n v="0.38436007396433008"/>
    <n v="5.3999563016846129E-2"/>
    <n v="0.43835963698117619"/>
    <n v="2.166963745691947E-2"/>
    <n v="3.307854274216819E-2"/>
    <n v="2"/>
    <n v="2"/>
  </r>
  <r>
    <s v="Foshan"/>
    <x v="0"/>
    <x v="2"/>
    <n v="3889700.0000000005"/>
    <n v="3798"/>
    <n v="94.5"/>
    <x v="10"/>
    <n v="138.43"/>
    <n v="2.4294932771164868E-5"/>
    <n v="2.4881516587677725E-2"/>
    <n v="1.0055292259083727E-2"/>
    <n v="3.6448130595050025E-2"/>
    <n v="0.49639578692831265"/>
    <n v="9.5486339272312162E-2"/>
    <n v="0.59188212620062486"/>
    <n v="9.8569212301243964E-2"/>
    <n v="0.1285810163629057"/>
    <n v="2"/>
    <n v="2"/>
  </r>
  <r>
    <s v="Fuzhou"/>
    <x v="0"/>
    <x v="2"/>
    <n v="3992799.9999999995"/>
    <n v="1786"/>
    <n v="78.900000000000006"/>
    <x v="11"/>
    <n v="168.41"/>
    <n v="1.9760569024243642E-5"/>
    <n v="4.4176931690929455E-2"/>
    <n v="3.0022396416573349E-2"/>
    <n v="9.4294512877939524E-2"/>
    <n v="0.39402775143937174"/>
    <n v="0.1792534303072042"/>
    <n v="0.57328118174657594"/>
    <n v="0.31835461391226516"/>
    <n v="0.3560991188266136"/>
    <n v="2"/>
    <n v="2"/>
  </r>
  <r>
    <s v="Guadalajara"/>
    <x v="1"/>
    <x v="2"/>
    <n v="4515531"/>
    <n v="692.524"/>
    <n v="30.1"/>
    <x v="12"/>
    <n v="60.02"/>
    <n v="6.6658827057105804E-6"/>
    <n v="4.3464197630695832E-2"/>
    <n v="3.198445108039577E-2"/>
    <n v="8.6668476471573552E-2"/>
    <n v="9.8401421354515226E-2"/>
    <n v="0.17615924142410538"/>
    <n v="0.27456066277862062"/>
    <n v="0.33995168521863361"/>
    <n v="0.32610482594222073"/>
    <n v="5"/>
    <n v="5"/>
  </r>
  <r>
    <s v="Guiyang"/>
    <x v="0"/>
    <x v="2"/>
    <n v="4621800"/>
    <n v="2525"/>
    <n v="76.8"/>
    <x v="13"/>
    <n v="135.26"/>
    <n v="1.6616902505517329E-5"/>
    <n v="3.0415841584158415E-2"/>
    <n v="1.6087128712871285E-2"/>
    <n v="5.3568316831683165E-2"/>
    <n v="0.32305617004101661"/>
    <n v="0.1195124772598152"/>
    <n v="0.44256864730083179"/>
    <n v="0.16496389762923258"/>
    <n v="0.19591715965593606"/>
    <n v="2"/>
    <n v="2"/>
  </r>
  <r>
    <s v="Jinan"/>
    <x v="0"/>
    <x v="1"/>
    <n v="6257300"/>
    <n v="3303"/>
    <n v="84.25"/>
    <x v="14"/>
    <n v="90.09"/>
    <n v="1.3464273728285362E-5"/>
    <n v="2.5507114744171965E-2"/>
    <n v="7.4659400544959129E-3"/>
    <n v="2.7275204359673025E-2"/>
    <n v="0.25188225622118537"/>
    <n v="9.8202245483497125E-2"/>
    <n v="0.35008450170468253"/>
    <n v="7.0067241774674285E-2"/>
    <n v="9.2502584337436439E-2"/>
    <n v="5"/>
    <n v="5"/>
  </r>
  <r>
    <s v="Lanzhou"/>
    <x v="0"/>
    <x v="2"/>
    <n v="3693100"/>
    <n v="1632"/>
    <n v="25.9"/>
    <x v="15"/>
    <n v="43.04"/>
    <n v="7.0130784435839806E-6"/>
    <n v="1.5870098039215685E-2"/>
    <n v="8.2291666666666659E-3"/>
    <n v="2.6372549019607842E-2"/>
    <n v="0.1062397306741779"/>
    <n v="5.636511208630969E-2"/>
    <n v="0.16260484276048759"/>
    <n v="7.8468363246925785E-2"/>
    <n v="8.8952311666173636E-2"/>
    <n v="5"/>
    <n v="5"/>
  </r>
  <r>
    <s v="Lima"/>
    <x v="1"/>
    <x v="1"/>
    <n v="9752000"/>
    <n v="798.6"/>
    <n v="22.5"/>
    <x v="16"/>
    <n v="53.8"/>
    <n v="2.3072190319934373E-6"/>
    <n v="2.8174305033809164E-2"/>
    <n v="1.9383921863260708E-2"/>
    <n v="6.7367893814174795E-2"/>
    <n v="0"/>
    <n v="0.1097813056179312"/>
    <n v="0.1097813056179312"/>
    <n v="0.20125293588293505"/>
    <n v="0.25019287139369567"/>
    <n v="5"/>
    <n v="5"/>
  </r>
  <r>
    <s v="Medellin"/>
    <x v="1"/>
    <x v="2"/>
    <n v="3383258"/>
    <n v="172.65299999999999"/>
    <n v="39.4"/>
    <x v="17"/>
    <n v="40.96"/>
    <n v="1.1645579497632163E-5"/>
    <n v="0.22820339061585956"/>
    <n v="7.5063856405622853E-2"/>
    <n v="0.23723885481283269"/>
    <n v="0.21082331919315142"/>
    <n v="0.97816659465760936"/>
    <n v="1.1889899138507607"/>
    <n v="0.81414285114278628"/>
    <n v="0.91831967872099085"/>
    <n v="1"/>
    <n v="1"/>
  </r>
  <r>
    <s v="Panama"/>
    <x v="1"/>
    <x v="2"/>
    <n v="1771384"/>
    <n v="287"/>
    <n v="36.799999999999997"/>
    <x v="18"/>
    <n v="54.16"/>
    <n v="2.0774716267054458E-5"/>
    <n v="0.12822299651567942"/>
    <n v="5.8153310104529621E-2"/>
    <n v="0.1887108013937282"/>
    <n v="0.41692319316778603"/>
    <n v="0.54412219968199793"/>
    <n v="0.96104539284978396"/>
    <n v="0.62800212783447307"/>
    <n v="0.72745189763525908"/>
    <n v="6"/>
    <n v="6"/>
  </r>
  <r>
    <s v="Porto Alegre "/>
    <x v="1"/>
    <x v="2"/>
    <n v="4161237"/>
    <n v="433.98"/>
    <n v="38.299999999999997"/>
    <x v="19"/>
    <n v="44.15"/>
    <n v="9.2039939085420992E-6"/>
    <n v="8.8252914880870073E-2"/>
    <n v="2.6568044610350706E-2"/>
    <n v="0.10173279874648601"/>
    <n v="0.15570195395134334"/>
    <n v="0.37060028014522184"/>
    <n v="0.52630223409656518"/>
    <n v="0.2803312684612615"/>
    <n v="0.3853549619685086"/>
    <n v="5"/>
    <n v="7"/>
  </r>
  <r>
    <s v="Quito"/>
    <x v="1"/>
    <x v="2"/>
    <n v="2239191"/>
    <n v="372.39"/>
    <n v="22.6"/>
    <x v="20"/>
    <n v="26.6"/>
    <n v="1.0092930884413167E-5"/>
    <n v="6.0689062541958702E-2"/>
    <n v="2.0247589892317196E-2"/>
    <n v="7.1430489540535463E-2"/>
    <n v="0.17577064207879856"/>
    <n v="0.25093746305678305"/>
    <n v="0.42670810513558161"/>
    <n v="0.2107596536887606"/>
    <n v="0.26617164196258836"/>
    <n v="5"/>
    <n v="5"/>
  </r>
  <r>
    <s v="Recife"/>
    <x v="1"/>
    <x v="2"/>
    <n v="3887261"/>
    <n v="841.23999999996545"/>
    <n v="35.799999999999997"/>
    <x v="2"/>
    <n v="46.7"/>
    <n v="9.2095694114699262E-6"/>
    <n v="4.2556226522753871E-2"/>
    <n v="1.735533260425158E-2"/>
    <n v="5.5513289905380056E-2"/>
    <n v="0.15582782679998103"/>
    <n v="0.17221747090250575"/>
    <n v="0.3280452977024868"/>
    <n v="0.17892349334192015"/>
    <n v="0.203567017185599"/>
    <n v="5"/>
    <n v="5"/>
  </r>
  <r>
    <s v="Rio de Janeiro"/>
    <x v="1"/>
    <x v="0"/>
    <n v="12156624"/>
    <n v="900"/>
    <n v="161.30000000000001"/>
    <x v="21"/>
    <n v="63.6"/>
    <n v="1.3268486382403536E-5"/>
    <n v="0.17922222222222223"/>
    <n v="2.2422222222222222E-2"/>
    <n v="7.0666666666666669E-2"/>
    <n v="0.24746215075762948"/>
    <n v="0.7655248883315432"/>
    <n v="1.0129870390891726"/>
    <n v="0.23469664706620072"/>
    <n v="0.26316741725530862"/>
    <n v="7"/>
    <n v="7"/>
  </r>
  <r>
    <s v="Salvador"/>
    <x v="1"/>
    <x v="2"/>
    <n v="4016371"/>
    <n v="384.43686323588486"/>
    <n v="31.4"/>
    <x v="22"/>
    <n v="26.2"/>
    <n v="7.8180028687588875E-6"/>
    <n v="8.1677911258820707E-2"/>
    <n v="1.8208451554514171E-2"/>
    <n v="6.815163296118161E-2"/>
    <n v="0.12441174701895566"/>
    <n v="0.3420562491401497"/>
    <n v="0.46646799615910539"/>
    <n v="0.18831409348235684"/>
    <n v="0.25327542965432281"/>
    <n v="5"/>
    <n v="7"/>
  </r>
  <r>
    <s v="Santiago"/>
    <x v="1"/>
    <x v="1"/>
    <n v="5842259"/>
    <n v="662"/>
    <n v="154.4"/>
    <x v="23"/>
    <n v="170.8"/>
    <n v="2.6428133364166158E-5"/>
    <n v="0.23323262839879155"/>
    <n v="9.1948640483383678E-2"/>
    <n v="0.25800604229607255"/>
    <n v="0.54455503620725665"/>
    <n v="1"/>
    <n v="1.5445550362072566"/>
    <n v="1"/>
    <n v="1"/>
    <n v="1"/>
    <n v="1"/>
  </r>
  <r>
    <s v="Sao Paulo"/>
    <x v="1"/>
    <x v="0"/>
    <n v="20935204"/>
    <n v="2209"/>
    <n v="288.10000000000002"/>
    <x v="24"/>
    <n v="126.1"/>
    <n v="1.3761509082978127E-5"/>
    <n v="0.1304210049796288"/>
    <n v="1.9162516976007241E-2"/>
    <n v="5.7084653689452237E-2"/>
    <n v="0.2585926572908871"/>
    <n v="0.55366440305569375"/>
    <n v="0.81225706034658085"/>
    <n v="0.19881584927889723"/>
    <n v="0.20974741589547724"/>
    <n v="7"/>
    <n v="7"/>
  </r>
  <r>
    <s v="Shanghai"/>
    <x v="0"/>
    <x v="0"/>
    <n v="24152700"/>
    <n v="6341"/>
    <n v="940.2"/>
    <x v="25"/>
    <n v="438.85"/>
    <n v="3.8927324895353319E-5"/>
    <n v="0.14827314303737582"/>
    <n v="2.1389370761709509E-2"/>
    <n v="6.920832676234033E-2"/>
    <n v="0.82673744451457698"/>
    <n v="0.63116580252539167"/>
    <n v="1.4579032470399687"/>
    <n v="0.22332766379938249"/>
    <n v="0.25743155764429926"/>
    <n v="4"/>
    <n v="4"/>
  </r>
  <r>
    <s v="Shaoxing"/>
    <x v="0"/>
    <x v="2"/>
    <n v="4431100"/>
    <n v="2965"/>
    <n v="20.3"/>
    <x v="26"/>
    <n v="63.4"/>
    <n v="4.5812552187944301E-6"/>
    <n v="6.8465430016863412E-3"/>
    <n v="5.9291736930860029E-3"/>
    <n v="2.1382799325463744E-2"/>
    <n v="5.1338761084538109E-2"/>
    <n v="1.7191196819791477E-2"/>
    <n v="6.8529957904329586E-2"/>
    <n v="5.3151478263815249E-2"/>
    <n v="6.9326911816124021E-2"/>
    <n v="5"/>
    <n v="5"/>
  </r>
  <r>
    <s v="Tianjin"/>
    <x v="0"/>
    <x v="0"/>
    <n v="14390000"/>
    <n v="11917"/>
    <n v="256.2"/>
    <x v="27"/>
    <n v="231.58"/>
    <n v="1.7804030576789436E-5"/>
    <n v="2.149869933708148E-2"/>
    <n v="9.0542921876311157E-3"/>
    <n v="1.9432743140052028E-2"/>
    <n v="0.3498568360908928"/>
    <n v="8.0800531319036015E-2"/>
    <n v="0.43065736740992883"/>
    <n v="8.7550829215665191E-2"/>
    <n v="6.1657061680418561E-2"/>
    <n v="2"/>
    <n v="2"/>
  </r>
  <r>
    <s v="Urumqi"/>
    <x v="0"/>
    <x v="2"/>
    <n v="2668300"/>
    <n v="9596"/>
    <n v="27.7"/>
    <x v="28"/>
    <n v="36.046999999999997"/>
    <n v="1.0381141550800135E-5"/>
    <n v="2.8866194247603168E-3"/>
    <n v="1.1004585243851606E-3"/>
    <n v="3.756461025427261E-3"/>
    <n v="0.18227730130855818"/>
    <n v="0"/>
    <n v="0.18227730130855818"/>
    <n v="0"/>
    <n v="0"/>
    <n v="5"/>
    <n v="5"/>
  </r>
  <r>
    <s v="Xiamen"/>
    <x v="0"/>
    <x v="2"/>
    <n v="2111500"/>
    <n v="1699"/>
    <n v="98.4"/>
    <x v="29"/>
    <n v="116.55"/>
    <n v="4.6601941747572818E-5"/>
    <n v="5.791642142436728E-2"/>
    <n v="2.2218952324896998E-2"/>
    <n v="6.8599175985874047E-2"/>
    <n v="1"/>
    <n v="0.23890060975968946"/>
    <n v="1.2389006097596895"/>
    <n v="0.23245917909554878"/>
    <n v="0.25503568043804398"/>
    <n v="3"/>
    <n v="3"/>
  </r>
  <r>
    <s v="Xian"/>
    <x v="0"/>
    <x v="1"/>
    <n v="8705600"/>
    <n v="3874"/>
    <n v="256.2"/>
    <x v="30"/>
    <n v="338.42"/>
    <n v="2.9429332843227347E-5"/>
    <n v="6.6133195663396996E-2"/>
    <n v="2.5526587506453279E-2"/>
    <n v="8.7356737222509043E-2"/>
    <n v="0.61231027419197492"/>
    <n v="0.27457205149912961"/>
    <n v="0.88688232569110448"/>
    <n v="0.2688675596512442"/>
    <n v="0.3288118540029783"/>
    <n v="2"/>
    <n v="4"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n v="0.49200835943430904"/>
    <n v="0.33333333333333331"/>
    <n v="0.33333333333333331"/>
    <m/>
    <m/>
  </r>
  <r>
    <m/>
    <x v="2"/>
    <x v="3"/>
    <m/>
    <m/>
    <m/>
    <x v="31"/>
    <m/>
    <m/>
    <m/>
    <m/>
    <m/>
    <m/>
    <m/>
    <m/>
    <m/>
    <m/>
    <m/>
    <m/>
  </r>
  <r>
    <s v="MIN"/>
    <x v="2"/>
    <x v="3"/>
    <n v="1771384"/>
    <n v="172.65299999999999"/>
    <n v="20.3"/>
    <x v="22"/>
    <n v="26.2"/>
    <n v="2.3072190319934373E-6"/>
    <n v="2.8866194247603168E-3"/>
    <n v="1.1004585243851606E-3"/>
    <n v="3.756461025427261E-3"/>
    <m/>
    <m/>
    <n v="1.5445550362072566"/>
    <n v="1"/>
    <n v="1"/>
    <m/>
    <m/>
  </r>
  <r>
    <s v="MAX"/>
    <x v="2"/>
    <x v="3"/>
    <n v="24152700"/>
    <n v="16411"/>
    <n v="940.2"/>
    <x v="0"/>
    <n v="623.36"/>
    <n v="4.6601941747572818E-5"/>
    <n v="0.23323262839879155"/>
    <n v="9.1948640483383678E-2"/>
    <n v="0.25800604229607255"/>
    <m/>
    <m/>
    <n v="6.8529957904329586E-2"/>
    <n v="0"/>
    <n v="0"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n v="0.56053831733863868"/>
    <n v="0.33333333333333331"/>
    <n v="0.33333333333333331"/>
    <m/>
    <m/>
  </r>
  <r>
    <m/>
    <x v="2"/>
    <x v="3"/>
    <m/>
    <m/>
    <m/>
    <x v="31"/>
    <m/>
    <m/>
    <m/>
    <m/>
    <m/>
    <m/>
    <m/>
    <n v="1.0525466767729477"/>
    <n v="0.66666666666666663"/>
    <n v="0.66666666666666663"/>
    <m/>
    <m/>
  </r>
  <r>
    <m/>
    <x v="2"/>
    <x v="3"/>
    <m/>
    <m/>
    <m/>
    <x v="31"/>
    <m/>
    <m/>
    <m/>
    <m/>
    <m/>
    <m/>
    <m/>
    <n v="1.5445550362072566"/>
    <n v="1"/>
    <n v="1"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m/>
    <m/>
    <m/>
    <m/>
    <m/>
  </r>
  <r>
    <m/>
    <x v="2"/>
    <x v="3"/>
    <m/>
    <m/>
    <m/>
    <x v="31"/>
    <m/>
    <m/>
    <m/>
    <m/>
    <m/>
    <m/>
    <m/>
    <n v="0.56053831733863868"/>
    <m/>
    <m/>
    <m/>
    <m/>
  </r>
  <r>
    <m/>
    <x v="2"/>
    <x v="3"/>
    <m/>
    <m/>
    <m/>
    <x v="31"/>
    <m/>
    <m/>
    <m/>
    <m/>
    <m/>
    <m/>
    <m/>
    <n v="1.0525466767729477"/>
    <m/>
    <m/>
    <m/>
    <m/>
  </r>
  <r>
    <m/>
    <x v="2"/>
    <x v="3"/>
    <m/>
    <m/>
    <m/>
    <x v="31"/>
    <m/>
    <m/>
    <m/>
    <m/>
    <m/>
    <m/>
    <m/>
    <n v="1.5445550362072566"/>
    <m/>
    <m/>
    <m/>
    <m/>
  </r>
  <r>
    <m/>
    <x v="2"/>
    <x v="3"/>
    <m/>
    <m/>
    <m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D206E-FFD4-4B55-BEA2-DEC509248B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4" firstHeaderRow="0" firstDataRow="1" firstDataCol="1"/>
  <pivotFields count="24"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33">
        <item x="30"/>
        <item x="18"/>
        <item x="5"/>
        <item x="27"/>
        <item x="7"/>
        <item x="21"/>
        <item x="17"/>
        <item x="26"/>
        <item x="28"/>
        <item x="1"/>
        <item x="10"/>
        <item x="11"/>
        <item x="15"/>
        <item x="16"/>
        <item x="20"/>
        <item x="8"/>
        <item x="23"/>
        <item x="6"/>
        <item x="0"/>
        <item x="13"/>
        <item x="3"/>
        <item x="9"/>
        <item x="24"/>
        <item x="12"/>
        <item x="19"/>
        <item x="29"/>
        <item x="31"/>
        <item x="14"/>
        <item x="25"/>
        <item x="4"/>
        <item x="2"/>
        <item x="22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3" showAll="0"/>
    <pivotField dataField="1" numFmtId="3" showAll="0"/>
    <pivotField numFmtId="3" showAll="0"/>
    <pivotField showAll="0"/>
    <pivotField showAll="0"/>
    <pivotField showAll="0"/>
    <pivotField dataField="1" numFmtId="4" showAll="0"/>
    <pivotField dataField="1" showAll="0"/>
    <pivotField numFmtId="167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4"/>
    <field x="3"/>
  </rowFields>
  <rowItems count="41">
    <i>
      <x/>
    </i>
    <i r="1">
      <x/>
    </i>
    <i r="2">
      <x v="5"/>
    </i>
    <i r="2">
      <x v="14"/>
    </i>
    <i r="2">
      <x v="31"/>
    </i>
    <i r="1">
      <x v="1"/>
    </i>
    <i r="2">
      <x v="6"/>
    </i>
    <i r="2">
      <x v="9"/>
    </i>
    <i r="2">
      <x v="10"/>
    </i>
    <i r="2">
      <x v="11"/>
    </i>
    <i r="2">
      <x v="13"/>
    </i>
    <i r="2">
      <x v="15"/>
    </i>
    <i r="2">
      <x v="27"/>
    </i>
    <i r="2">
      <x v="29"/>
    </i>
    <i r="2">
      <x v="30"/>
    </i>
    <i r="1">
      <x v="2"/>
    </i>
    <i r="2">
      <x/>
    </i>
    <i r="2">
      <x v="7"/>
    </i>
    <i r="2">
      <x v="26"/>
    </i>
    <i r="2">
      <x v="28"/>
    </i>
    <i>
      <x v="1"/>
    </i>
    <i r="1">
      <x/>
    </i>
    <i r="2">
      <x v="1"/>
    </i>
    <i r="2">
      <x v="16"/>
    </i>
    <i r="2">
      <x v="24"/>
    </i>
    <i r="1">
      <x v="1"/>
    </i>
    <i r="2">
      <x v="2"/>
    </i>
    <i r="2">
      <x v="4"/>
    </i>
    <i r="2">
      <x v="12"/>
    </i>
    <i r="2">
      <x v="17"/>
    </i>
    <i r="2">
      <x v="18"/>
    </i>
    <i r="2">
      <x v="19"/>
    </i>
    <i r="2">
      <x v="20"/>
    </i>
    <i r="2">
      <x v="21"/>
    </i>
    <i r="2">
      <x v="23"/>
    </i>
    <i r="1">
      <x v="2"/>
    </i>
    <i r="2">
      <x v="3"/>
    </i>
    <i r="2">
      <x v="8"/>
    </i>
    <i r="2">
      <x v="22"/>
    </i>
    <i r="2"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OPULATION" fld="5" subtotal="average" baseField="1" baseItem="0" numFmtId="3"/>
    <dataField name="Average of AREA" fld="6" subtotal="average" baseField="1" baseItem="0" numFmtId="3"/>
    <dataField name="Average of METRO SERV -LENGTH" fld="12" subtotal="average" baseField="3" baseItem="26"/>
    <dataField name="Average of METRO AREA KM2" fld="11" subtotal="average" baseField="1" baseItem="0" numFmtId="4"/>
  </dataFields>
  <formats count="14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1" count="1" selected="0">
            <x v="0"/>
          </reference>
          <reference field="4" count="0"/>
        </references>
      </pivotArea>
    </format>
    <format dxfId="9">
      <pivotArea dataOnly="0" labelOnly="1" fieldPosition="0">
        <references count="2">
          <reference field="1" count="1" selected="0">
            <x v="1"/>
          </reference>
          <reference field="4" count="0"/>
        </references>
      </pivotArea>
    </format>
    <format dxfId="8">
      <pivotArea dataOnly="0" labelOnly="1" fieldPosition="0">
        <references count="3">
          <reference field="1" count="1" selected="0">
            <x v="0"/>
          </reference>
          <reference field="3" count="3">
            <x v="5"/>
            <x v="14"/>
            <x v="31"/>
          </reference>
          <reference field="4" count="1" selected="0">
            <x v="0"/>
          </reference>
        </references>
      </pivotArea>
    </format>
    <format dxfId="7">
      <pivotArea dataOnly="0" labelOnly="1" fieldPosition="0">
        <references count="3">
          <reference field="1" count="1" selected="0">
            <x v="0"/>
          </reference>
          <reference field="3" count="9">
            <x v="6"/>
            <x v="9"/>
            <x v="10"/>
            <x v="11"/>
            <x v="13"/>
            <x v="15"/>
            <x v="27"/>
            <x v="29"/>
            <x v="30"/>
          </reference>
          <reference field="4" count="1" selected="0">
            <x v="1"/>
          </reference>
        </references>
      </pivotArea>
    </format>
    <format dxfId="6">
      <pivotArea dataOnly="0" labelOnly="1" fieldPosition="0">
        <references count="3">
          <reference field="1" count="1" selected="0">
            <x v="0"/>
          </reference>
          <reference field="3" count="4">
            <x v="0"/>
            <x v="7"/>
            <x v="26"/>
            <x v="28"/>
          </reference>
          <reference field="4" count="1" selected="0">
            <x v="2"/>
          </reference>
        </references>
      </pivotArea>
    </format>
    <format dxfId="5">
      <pivotArea dataOnly="0" labelOnly="1" fieldPosition="0">
        <references count="3">
          <reference field="1" count="1" selected="0">
            <x v="1"/>
          </reference>
          <reference field="3" count="3">
            <x v="1"/>
            <x v="16"/>
            <x v="24"/>
          </reference>
          <reference field="4" count="1" selected="0">
            <x v="0"/>
          </reference>
        </references>
      </pivotArea>
    </format>
    <format dxfId="4">
      <pivotArea dataOnly="0" labelOnly="1" fieldPosition="0">
        <references count="3">
          <reference field="1" count="1" selected="0">
            <x v="1"/>
          </reference>
          <reference field="3" count="9">
            <x v="2"/>
            <x v="4"/>
            <x v="12"/>
            <x v="17"/>
            <x v="18"/>
            <x v="19"/>
            <x v="20"/>
            <x v="21"/>
            <x v="23"/>
          </reference>
          <reference field="4" count="1" selected="0">
            <x v="1"/>
          </reference>
        </references>
      </pivotArea>
    </format>
    <format dxfId="3">
      <pivotArea dataOnly="0" labelOnly="1" fieldPosition="0">
        <references count="3">
          <reference field="1" count="1" selected="0">
            <x v="1"/>
          </reference>
          <reference field="3" count="4">
            <x v="3"/>
            <x v="8"/>
            <x v="22"/>
            <x v="25"/>
          </reference>
          <reference field="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F5910-148F-4E73-B988-E9F2156A0E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45" firstHeaderRow="1" firstDataRow="2" firstDataCol="1"/>
  <pivotFields count="18">
    <pivotField axis="axisRow" showAll="0">
      <items count="33">
        <item x="30"/>
        <item x="18"/>
        <item x="5"/>
        <item x="27"/>
        <item x="7"/>
        <item x="21"/>
        <item x="17"/>
        <item x="26"/>
        <item x="28"/>
        <item x="1"/>
        <item x="10"/>
        <item x="11"/>
        <item x="15"/>
        <item x="16"/>
        <item x="20"/>
        <item x="8"/>
        <item x="23"/>
        <item x="6"/>
        <item x="0"/>
        <item x="13"/>
        <item x="3"/>
        <item x="9"/>
        <item x="24"/>
        <item x="12"/>
        <item x="19"/>
        <item x="29"/>
        <item x="31"/>
        <item x="14"/>
        <item x="25"/>
        <item x="4"/>
        <item x="2"/>
        <item x="22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numFmtId="165" showAll="0"/>
    <pivotField numFmtId="3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numFmtId="168" showAll="0"/>
    <pivotField axis="axisCol" dataField="1" numFmtId="1" showAll="0">
      <items count="8">
        <item x="4"/>
        <item x="1"/>
        <item x="2"/>
        <item x="6"/>
        <item x="3"/>
        <item x="0"/>
        <item x="5"/>
        <item t="default"/>
      </items>
    </pivotField>
  </pivotFields>
  <rowFields count="3">
    <field x="1"/>
    <field x="2"/>
    <field x="0"/>
  </rowFields>
  <rowItems count="41">
    <i>
      <x/>
    </i>
    <i r="1">
      <x/>
    </i>
    <i r="2">
      <x v="5"/>
    </i>
    <i r="2">
      <x v="14"/>
    </i>
    <i r="2">
      <x v="31"/>
    </i>
    <i r="1">
      <x v="1"/>
    </i>
    <i r="2">
      <x v="6"/>
    </i>
    <i r="2">
      <x v="9"/>
    </i>
    <i r="2">
      <x v="10"/>
    </i>
    <i r="2">
      <x v="11"/>
    </i>
    <i r="2">
      <x v="13"/>
    </i>
    <i r="2">
      <x v="15"/>
    </i>
    <i r="2">
      <x v="27"/>
    </i>
    <i r="2">
      <x v="29"/>
    </i>
    <i r="2">
      <x v="30"/>
    </i>
    <i r="1">
      <x v="2"/>
    </i>
    <i r="2">
      <x/>
    </i>
    <i r="2">
      <x v="7"/>
    </i>
    <i r="2">
      <x v="26"/>
    </i>
    <i r="2">
      <x v="28"/>
    </i>
    <i>
      <x v="1"/>
    </i>
    <i r="1">
      <x/>
    </i>
    <i r="2">
      <x v="1"/>
    </i>
    <i r="2">
      <x v="16"/>
    </i>
    <i r="2">
      <x v="24"/>
    </i>
    <i r="1">
      <x v="1"/>
    </i>
    <i r="2">
      <x v="2"/>
    </i>
    <i r="2">
      <x v="4"/>
    </i>
    <i r="2">
      <x v="12"/>
    </i>
    <i r="2">
      <x v="17"/>
    </i>
    <i r="2">
      <x v="18"/>
    </i>
    <i r="2">
      <x v="19"/>
    </i>
    <i r="2">
      <x v="20"/>
    </i>
    <i r="2">
      <x v="21"/>
    </i>
    <i r="2">
      <x v="23"/>
    </i>
    <i r="1">
      <x v="2"/>
    </i>
    <i r="2">
      <x v="3"/>
    </i>
    <i r="2">
      <x v="8"/>
    </i>
    <i r="2">
      <x v="22"/>
    </i>
    <i r="2">
      <x v="25"/>
    </i>
    <i t="grand">
      <x/>
    </i>
  </rowItems>
  <colFields count="1">
    <field x="1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LUSTER" fld="17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11908-EA55-48A5-A46C-0920EA5C31A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48" firstHeaderRow="1" firstDataRow="2" firstDataCol="1"/>
  <pivotFields count="19">
    <pivotField axis="axisRow" showAll="0">
      <items count="34">
        <item x="13"/>
        <item x="15"/>
        <item x="27"/>
        <item x="2"/>
        <item x="29"/>
        <item x="19"/>
        <item x="5"/>
        <item x="25"/>
        <item x="21"/>
        <item x="3"/>
        <item x="7"/>
        <item x="14"/>
        <item x="12"/>
        <item x="10"/>
        <item x="8"/>
        <item x="4"/>
        <item x="9"/>
        <item x="30"/>
        <item x="23"/>
        <item x="22"/>
        <item x="17"/>
        <item x="11"/>
        <item x="28"/>
        <item x="20"/>
        <item x="31"/>
        <item x="24"/>
        <item x="26"/>
        <item x="1"/>
        <item x="6"/>
        <item x="0"/>
        <item x="16"/>
        <item x="18"/>
        <item x="3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9">
        <item x="5"/>
        <item x="1"/>
        <item x="2"/>
        <item x="4"/>
        <item x="0"/>
        <item x="3"/>
        <item x="6"/>
        <item x="7"/>
        <item t="default"/>
      </items>
    </pivotField>
    <pivotField showAll="0"/>
  </pivotFields>
  <rowFields count="3">
    <field x="1"/>
    <field x="2"/>
    <field x="0"/>
  </rowFields>
  <rowItems count="44">
    <i>
      <x/>
    </i>
    <i r="1">
      <x/>
    </i>
    <i r="2">
      <x v="5"/>
    </i>
    <i r="2">
      <x v="14"/>
    </i>
    <i r="2">
      <x v="31"/>
    </i>
    <i r="1">
      <x v="1"/>
    </i>
    <i r="2">
      <x v="6"/>
    </i>
    <i r="2">
      <x v="9"/>
    </i>
    <i r="2">
      <x v="10"/>
    </i>
    <i r="2">
      <x v="11"/>
    </i>
    <i r="2">
      <x v="13"/>
    </i>
    <i r="2">
      <x v="15"/>
    </i>
    <i r="2">
      <x v="27"/>
    </i>
    <i r="2">
      <x v="29"/>
    </i>
    <i r="2">
      <x v="30"/>
    </i>
    <i r="1">
      <x v="2"/>
    </i>
    <i r="2">
      <x/>
    </i>
    <i r="2">
      <x v="7"/>
    </i>
    <i r="2">
      <x v="26"/>
    </i>
    <i r="2">
      <x v="28"/>
    </i>
    <i>
      <x v="1"/>
    </i>
    <i r="1">
      <x/>
    </i>
    <i r="2">
      <x v="1"/>
    </i>
    <i r="2">
      <x v="16"/>
    </i>
    <i r="2">
      <x v="24"/>
    </i>
    <i r="1">
      <x v="1"/>
    </i>
    <i r="2">
      <x v="2"/>
    </i>
    <i r="2">
      <x v="4"/>
    </i>
    <i r="2">
      <x v="12"/>
    </i>
    <i r="2">
      <x v="17"/>
    </i>
    <i r="2">
      <x v="18"/>
    </i>
    <i r="2">
      <x v="19"/>
    </i>
    <i r="2">
      <x v="20"/>
    </i>
    <i r="2">
      <x v="21"/>
    </i>
    <i r="2">
      <x v="23"/>
    </i>
    <i r="1">
      <x v="2"/>
    </i>
    <i r="2">
      <x v="3"/>
    </i>
    <i r="2">
      <x v="8"/>
    </i>
    <i r="2">
      <x v="22"/>
    </i>
    <i r="2">
      <x v="25"/>
    </i>
    <i>
      <x v="2"/>
    </i>
    <i r="1">
      <x v="3"/>
    </i>
    <i r="2">
      <x v="32"/>
    </i>
    <i t="grand">
      <x/>
    </i>
  </rowItems>
  <colFields count="1">
    <field x="1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LUSTER 400 m" fld="17" subtotal="count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5A2A7-3228-43C9-B85E-DF211CA4DED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19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>
      <items count="33">
        <item x="22"/>
        <item x="20"/>
        <item x="9"/>
        <item x="1"/>
        <item x="28"/>
        <item x="19"/>
        <item x="17"/>
        <item x="15"/>
        <item x="2"/>
        <item x="16"/>
        <item x="18"/>
        <item x="26"/>
        <item x="21"/>
        <item x="6"/>
        <item x="12"/>
        <item x="4"/>
        <item x="14"/>
        <item x="29"/>
        <item x="10"/>
        <item x="3"/>
        <item x="13"/>
        <item x="24"/>
        <item x="11"/>
        <item x="23"/>
        <item x="5"/>
        <item x="8"/>
        <item x="30"/>
        <item x="27"/>
        <item x="25"/>
        <item x="7"/>
        <item x="0"/>
        <item x="3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ETRO AREA COVE/LAND (400m)" fld="10" subtotal="average" baseField="1" baseItem="1"/>
    <dataField name="Average of METRO AREA COVE/LAND (800m)" fld="11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8C71-2A7B-4235-85DE-9174E81FB292}">
  <dimension ref="A1:Z65"/>
  <sheetViews>
    <sheetView zoomScale="80" zoomScaleNormal="80" workbookViewId="0">
      <pane xSplit="4" topLeftCell="E1" activePane="topRight" state="frozen"/>
      <selection pane="topRight" activeCell="C12" sqref="C12"/>
    </sheetView>
  </sheetViews>
  <sheetFormatPr defaultRowHeight="13.2" x14ac:dyDescent="0.25"/>
  <cols>
    <col min="1" max="1" width="10" style="6" bestFit="1" customWidth="1"/>
    <col min="2" max="2" width="10" style="6" customWidth="1"/>
    <col min="3" max="3" width="20.77734375" style="6" customWidth="1"/>
    <col min="4" max="4" width="15.6640625" style="6" bestFit="1" customWidth="1"/>
    <col min="5" max="5" width="13.77734375" style="6" customWidth="1"/>
    <col min="6" max="6" width="20.77734375" style="33" customWidth="1"/>
    <col min="7" max="7" width="20.77734375" style="37" customWidth="1"/>
    <col min="8" max="8" width="20.77734375" style="24" customWidth="1"/>
    <col min="9" max="9" width="19.88671875" style="1" hidden="1" customWidth="1"/>
    <col min="10" max="10" width="21.5546875" style="3" hidden="1" customWidth="1"/>
    <col min="11" max="11" width="22.109375" style="3" hidden="1" customWidth="1"/>
    <col min="12" max="12" width="22.109375" style="65" customWidth="1"/>
    <col min="13" max="13" width="22.109375" style="27" customWidth="1"/>
    <col min="14" max="14" width="20.77734375" style="25" customWidth="1"/>
    <col min="15" max="16" width="22.109375" style="27" customWidth="1"/>
    <col min="17" max="17" width="22.109375" style="65" customWidth="1"/>
    <col min="18" max="18" width="17.88671875" style="70" customWidth="1"/>
    <col min="19" max="19" width="8.77734375" style="25" bestFit="1" customWidth="1"/>
    <col min="20" max="21" width="20.77734375" style="6" customWidth="1"/>
    <col min="22" max="24" width="20.77734375" style="3" hidden="1" customWidth="1"/>
    <col min="25" max="25" width="129" style="3" hidden="1" customWidth="1"/>
    <col min="26" max="26" width="20.77734375" style="27" customWidth="1"/>
    <col min="27" max="16384" width="8.88671875" style="1"/>
  </cols>
  <sheetData>
    <row r="1" spans="1:26" s="28" customFormat="1" ht="52.8" x14ac:dyDescent="0.25">
      <c r="A1" s="10" t="s">
        <v>68</v>
      </c>
      <c r="B1" s="10" t="s">
        <v>109</v>
      </c>
      <c r="C1" s="4" t="s">
        <v>74</v>
      </c>
      <c r="D1" s="4" t="s">
        <v>67</v>
      </c>
      <c r="E1" s="4" t="s">
        <v>63</v>
      </c>
      <c r="F1" s="22" t="s">
        <v>69</v>
      </c>
      <c r="G1" s="23" t="s">
        <v>70</v>
      </c>
      <c r="H1" s="23" t="s">
        <v>71</v>
      </c>
      <c r="I1" s="4" t="s">
        <v>97</v>
      </c>
      <c r="J1" s="4" t="s">
        <v>39</v>
      </c>
      <c r="K1" s="4" t="s">
        <v>98</v>
      </c>
      <c r="L1" s="63" t="s">
        <v>129</v>
      </c>
      <c r="M1" s="22" t="s">
        <v>127</v>
      </c>
      <c r="N1" s="22" t="s">
        <v>116</v>
      </c>
      <c r="O1" s="22" t="s">
        <v>102</v>
      </c>
      <c r="P1" s="22" t="s">
        <v>103</v>
      </c>
      <c r="Q1" s="63" t="s">
        <v>130</v>
      </c>
      <c r="R1" s="22" t="s">
        <v>128</v>
      </c>
      <c r="S1" s="22" t="s">
        <v>40</v>
      </c>
      <c r="T1" s="4" t="s">
        <v>99</v>
      </c>
      <c r="U1" s="4" t="s">
        <v>100</v>
      </c>
      <c r="V1" s="4" t="s">
        <v>2</v>
      </c>
      <c r="W1" s="4" t="s">
        <v>6</v>
      </c>
      <c r="X1" s="4" t="s">
        <v>5</v>
      </c>
      <c r="Y1" s="4" t="s">
        <v>3</v>
      </c>
      <c r="Z1" s="22" t="s">
        <v>101</v>
      </c>
    </row>
    <row r="2" spans="1:26" x14ac:dyDescent="0.25">
      <c r="A2" s="6" t="s">
        <v>32</v>
      </c>
      <c r="B2" s="6" t="s">
        <v>107</v>
      </c>
      <c r="C2" s="7" t="s">
        <v>32</v>
      </c>
      <c r="D2" s="7" t="s">
        <v>32</v>
      </c>
      <c r="E2" s="7" t="s">
        <v>64</v>
      </c>
      <c r="F2" s="31">
        <v>1771384</v>
      </c>
      <c r="G2" s="31">
        <v>287</v>
      </c>
      <c r="H2" s="31">
        <f t="shared" ref="H2:H33" si="0">+F2/G2</f>
        <v>6172.0696864111496</v>
      </c>
      <c r="I2" s="2">
        <v>46.21</v>
      </c>
      <c r="J2" s="7">
        <v>1.8723990000000001</v>
      </c>
      <c r="K2" s="11">
        <v>0.65988400000000003</v>
      </c>
      <c r="L2" s="72">
        <v>16.690000000000001</v>
      </c>
      <c r="M2" s="32">
        <v>54.16</v>
      </c>
      <c r="N2" s="33">
        <v>36.799999999999997</v>
      </c>
      <c r="O2" s="66">
        <f t="shared" ref="O2:O33" si="1">+N2/G2</f>
        <v>0.12822299651567942</v>
      </c>
      <c r="P2" s="67">
        <f t="shared" ref="P2:P33" si="2">+N2/F2</f>
        <v>2.0774716267054458E-5</v>
      </c>
      <c r="Q2" s="30">
        <f t="shared" ref="Q2:Q33" si="3">+L2*100/G2</f>
        <v>5.8153310104529625</v>
      </c>
      <c r="R2" s="67">
        <f t="shared" ref="R2:R33" si="4">+M2*100/G2</f>
        <v>18.871080139372822</v>
      </c>
      <c r="S2" s="24">
        <v>2014</v>
      </c>
      <c r="T2" s="6">
        <v>2</v>
      </c>
      <c r="U2" s="6">
        <v>33</v>
      </c>
      <c r="V2" s="9">
        <v>219000000</v>
      </c>
      <c r="W2" s="9">
        <f>299359+192614+7423</f>
        <v>499396</v>
      </c>
      <c r="X2" s="9">
        <v>2023</v>
      </c>
      <c r="Y2" s="3" t="s">
        <v>19</v>
      </c>
      <c r="Z2" s="25">
        <v>6</v>
      </c>
    </row>
    <row r="3" spans="1:26" x14ac:dyDescent="0.25">
      <c r="A3" s="6" t="s">
        <v>55</v>
      </c>
      <c r="B3" s="6" t="s">
        <v>108</v>
      </c>
      <c r="C3" s="7" t="s">
        <v>75</v>
      </c>
      <c r="D3" s="6" t="s">
        <v>53</v>
      </c>
      <c r="E3" s="7" t="s">
        <v>64</v>
      </c>
      <c r="F3" s="31">
        <f>195.01*10000</f>
        <v>1950100</v>
      </c>
      <c r="G3" s="31">
        <v>2460</v>
      </c>
      <c r="H3" s="31">
        <f t="shared" si="0"/>
        <v>792.72357723577238</v>
      </c>
      <c r="I3" s="13"/>
      <c r="K3" s="9"/>
      <c r="L3" s="72">
        <v>7.55</v>
      </c>
      <c r="M3" s="32">
        <v>29.93</v>
      </c>
      <c r="N3" s="33">
        <v>37.700000000000003</v>
      </c>
      <c r="O3" s="66">
        <f t="shared" si="1"/>
        <v>1.5325203252032521E-2</v>
      </c>
      <c r="P3" s="67">
        <f t="shared" si="2"/>
        <v>1.9332341931183018E-5</v>
      </c>
      <c r="Q3" s="30">
        <f t="shared" si="3"/>
        <v>0.30691056910569103</v>
      </c>
      <c r="R3" s="67">
        <f t="shared" si="4"/>
        <v>1.2166666666666666</v>
      </c>
      <c r="S3" s="24">
        <v>2016</v>
      </c>
      <c r="T3" s="6">
        <v>1</v>
      </c>
      <c r="U3" s="6">
        <v>15</v>
      </c>
      <c r="Z3" s="25">
        <v>2</v>
      </c>
    </row>
    <row r="4" spans="1:26" x14ac:dyDescent="0.25">
      <c r="A4" s="6" t="s">
        <v>55</v>
      </c>
      <c r="B4" s="6" t="s">
        <v>108</v>
      </c>
      <c r="C4" s="7" t="s">
        <v>76</v>
      </c>
      <c r="D4" s="6" t="s">
        <v>46</v>
      </c>
      <c r="E4" s="7" t="s">
        <v>64</v>
      </c>
      <c r="F4" s="31">
        <f>211.15*10000</f>
        <v>2111500</v>
      </c>
      <c r="G4" s="31">
        <v>1699</v>
      </c>
      <c r="H4" s="31">
        <f t="shared" si="0"/>
        <v>1242.789876397881</v>
      </c>
      <c r="I4" s="13"/>
      <c r="K4" s="9"/>
      <c r="L4" s="72">
        <v>37.75</v>
      </c>
      <c r="M4" s="32">
        <v>116.55</v>
      </c>
      <c r="N4" s="33">
        <v>98.4</v>
      </c>
      <c r="O4" s="66">
        <f t="shared" si="1"/>
        <v>5.791642142436728E-2</v>
      </c>
      <c r="P4" s="67">
        <f t="shared" si="2"/>
        <v>4.6601941747572818E-5</v>
      </c>
      <c r="Q4" s="30">
        <f t="shared" si="3"/>
        <v>2.2218952324896999</v>
      </c>
      <c r="R4" s="67">
        <f t="shared" si="4"/>
        <v>6.8599175985874048</v>
      </c>
      <c r="S4" s="24">
        <v>2021</v>
      </c>
      <c r="T4" s="6">
        <v>3</v>
      </c>
      <c r="U4" s="6">
        <v>70</v>
      </c>
      <c r="Z4" s="25">
        <v>3</v>
      </c>
    </row>
    <row r="5" spans="1:26" x14ac:dyDescent="0.25">
      <c r="A5" s="6" t="s">
        <v>62</v>
      </c>
      <c r="B5" s="6" t="s">
        <v>107</v>
      </c>
      <c r="C5" s="7" t="s">
        <v>86</v>
      </c>
      <c r="D5" s="7" t="s">
        <v>31</v>
      </c>
      <c r="E5" s="7" t="s">
        <v>64</v>
      </c>
      <c r="F5" s="31">
        <v>2239191</v>
      </c>
      <c r="G5" s="31">
        <v>372.39</v>
      </c>
      <c r="H5" s="31">
        <f t="shared" si="0"/>
        <v>6013.0266655925243</v>
      </c>
      <c r="I5" s="2">
        <v>6.4409999999999998</v>
      </c>
      <c r="J5" s="5">
        <v>3.9214707999999998</v>
      </c>
      <c r="K5" s="5">
        <v>2.2305839999999999</v>
      </c>
      <c r="L5" s="72">
        <v>7.54</v>
      </c>
      <c r="M5" s="32">
        <v>26.6</v>
      </c>
      <c r="N5" s="33">
        <v>22.6</v>
      </c>
      <c r="O5" s="66">
        <f t="shared" si="1"/>
        <v>6.0689062541958702E-2</v>
      </c>
      <c r="P5" s="67">
        <f t="shared" si="2"/>
        <v>1.0092930884413167E-5</v>
      </c>
      <c r="Q5" s="30">
        <f t="shared" si="3"/>
        <v>2.0247589892317195</v>
      </c>
      <c r="R5" s="67">
        <f t="shared" si="4"/>
        <v>7.1430489540535467</v>
      </c>
      <c r="S5" s="68">
        <v>2023</v>
      </c>
      <c r="T5" s="6">
        <v>1</v>
      </c>
      <c r="U5" s="6">
        <v>15</v>
      </c>
      <c r="V5" s="9" t="s">
        <v>1</v>
      </c>
      <c r="W5" s="9" t="s">
        <v>17</v>
      </c>
      <c r="X5" s="9">
        <v>2023</v>
      </c>
      <c r="Y5" s="3" t="s">
        <v>18</v>
      </c>
      <c r="Z5" s="25">
        <v>5</v>
      </c>
    </row>
    <row r="6" spans="1:26" ht="17.55" customHeight="1" x14ac:dyDescent="0.25">
      <c r="A6" s="6" t="s">
        <v>55</v>
      </c>
      <c r="B6" s="6" t="s">
        <v>108</v>
      </c>
      <c r="C6" s="7" t="s">
        <v>77</v>
      </c>
      <c r="D6" s="6" t="s">
        <v>54</v>
      </c>
      <c r="E6" s="7" t="s">
        <v>64</v>
      </c>
      <c r="F6" s="31">
        <f>266.83*10000</f>
        <v>2668300</v>
      </c>
      <c r="G6" s="31">
        <v>9596</v>
      </c>
      <c r="H6" s="31">
        <f t="shared" si="0"/>
        <v>278.06377657357234</v>
      </c>
      <c r="I6" s="13"/>
      <c r="K6" s="9"/>
      <c r="L6" s="72">
        <v>10.56</v>
      </c>
      <c r="M6" s="32">
        <v>36.046999999999997</v>
      </c>
      <c r="N6" s="33">
        <v>27.7</v>
      </c>
      <c r="O6" s="66">
        <f t="shared" si="1"/>
        <v>2.8866194247603168E-3</v>
      </c>
      <c r="P6" s="67">
        <f t="shared" si="2"/>
        <v>1.0381141550800135E-5</v>
      </c>
      <c r="Q6" s="30">
        <f t="shared" si="3"/>
        <v>0.11004585243851604</v>
      </c>
      <c r="R6" s="67">
        <f t="shared" si="4"/>
        <v>0.37564610254272612</v>
      </c>
      <c r="S6" s="24">
        <v>2018</v>
      </c>
      <c r="T6" s="6">
        <v>1</v>
      </c>
      <c r="U6" s="6">
        <v>21</v>
      </c>
      <c r="Z6" s="25">
        <v>5</v>
      </c>
    </row>
    <row r="7" spans="1:26" ht="17.55" customHeight="1" x14ac:dyDescent="0.25">
      <c r="A7" s="6" t="s">
        <v>56</v>
      </c>
      <c r="B7" s="6" t="s">
        <v>107</v>
      </c>
      <c r="C7" s="14" t="s">
        <v>87</v>
      </c>
      <c r="D7" s="7" t="s">
        <v>30</v>
      </c>
      <c r="E7" s="7" t="s">
        <v>64</v>
      </c>
      <c r="F7" s="31">
        <v>2852372</v>
      </c>
      <c r="G7" s="31">
        <v>251.01</v>
      </c>
      <c r="H7" s="31">
        <f t="shared" si="0"/>
        <v>11363.579140273296</v>
      </c>
      <c r="I7" s="15">
        <v>87.5235959613007</v>
      </c>
      <c r="J7" s="12">
        <v>4.0907943357640955</v>
      </c>
      <c r="K7" s="5">
        <v>1.3850344943505464</v>
      </c>
      <c r="L7" s="72">
        <v>14.6</v>
      </c>
      <c r="M7" s="32">
        <v>48.3</v>
      </c>
      <c r="N7" s="33">
        <v>38.799999999999997</v>
      </c>
      <c r="O7" s="66">
        <f t="shared" si="1"/>
        <v>0.15457551491972432</v>
      </c>
      <c r="P7" s="67">
        <f t="shared" si="2"/>
        <v>1.360271381152248E-5</v>
      </c>
      <c r="Q7" s="30">
        <f t="shared" si="3"/>
        <v>5.8165013346081835</v>
      </c>
      <c r="R7" s="67">
        <f t="shared" si="4"/>
        <v>19.242261264491454</v>
      </c>
      <c r="S7" s="68">
        <v>2001</v>
      </c>
      <c r="T7" s="6">
        <v>2</v>
      </c>
      <c r="U7" s="6">
        <v>27</v>
      </c>
      <c r="V7" s="9">
        <v>42800000</v>
      </c>
      <c r="W7" s="9">
        <v>108000</v>
      </c>
      <c r="X7" s="9">
        <v>2022</v>
      </c>
      <c r="Y7" s="3" t="s">
        <v>16</v>
      </c>
      <c r="Z7" s="25">
        <v>6</v>
      </c>
    </row>
    <row r="8" spans="1:26" ht="17.55" customHeight="1" x14ac:dyDescent="0.25">
      <c r="A8" s="6" t="s">
        <v>73</v>
      </c>
      <c r="B8" s="6" t="s">
        <v>107</v>
      </c>
      <c r="C8" s="16" t="s">
        <v>88</v>
      </c>
      <c r="D8" s="7" t="s">
        <v>95</v>
      </c>
      <c r="E8" s="7" t="s">
        <v>64</v>
      </c>
      <c r="F8" s="36">
        <v>3383258</v>
      </c>
      <c r="G8" s="34">
        <v>172.65299999999999</v>
      </c>
      <c r="H8" s="31">
        <f t="shared" si="0"/>
        <v>19595.709312899286</v>
      </c>
      <c r="I8" s="15">
        <v>18.157203882196601</v>
      </c>
      <c r="J8" s="12">
        <v>5.6127970000000005</v>
      </c>
      <c r="K8" s="5">
        <v>2.2638989999999999</v>
      </c>
      <c r="L8" s="72">
        <v>12.96</v>
      </c>
      <c r="M8" s="32">
        <v>40.96</v>
      </c>
      <c r="N8" s="33">
        <v>39.4</v>
      </c>
      <c r="O8" s="66">
        <f t="shared" si="1"/>
        <v>0.22820339061585956</v>
      </c>
      <c r="P8" s="67">
        <f t="shared" si="2"/>
        <v>1.1645579497632163E-5</v>
      </c>
      <c r="Q8" s="30">
        <f t="shared" si="3"/>
        <v>7.506385640562284</v>
      </c>
      <c r="R8" s="67">
        <f t="shared" si="4"/>
        <v>23.723885481283268</v>
      </c>
      <c r="S8" s="68">
        <v>1995</v>
      </c>
      <c r="T8" s="6">
        <v>2</v>
      </c>
      <c r="U8" s="6">
        <v>27</v>
      </c>
      <c r="V8" s="9"/>
      <c r="W8" s="9"/>
      <c r="X8" s="9"/>
      <c r="Z8" s="25">
        <v>1</v>
      </c>
    </row>
    <row r="9" spans="1:26" ht="17.55" customHeight="1" x14ac:dyDescent="0.25">
      <c r="A9" s="83" t="s">
        <v>72</v>
      </c>
      <c r="B9" s="83" t="s">
        <v>107</v>
      </c>
      <c r="C9" s="84" t="s">
        <v>89</v>
      </c>
      <c r="D9" s="85" t="s">
        <v>29</v>
      </c>
      <c r="E9" s="85" t="s">
        <v>64</v>
      </c>
      <c r="F9" s="36">
        <v>3611087</v>
      </c>
      <c r="G9" s="31">
        <v>260.63</v>
      </c>
      <c r="H9" s="31">
        <f t="shared" si="0"/>
        <v>13855.223880597016</v>
      </c>
      <c r="I9" s="2" t="s">
        <v>1</v>
      </c>
      <c r="J9" s="5">
        <v>7.5230915481782974</v>
      </c>
      <c r="K9" s="12">
        <v>4.2824669736908971</v>
      </c>
      <c r="L9" s="72">
        <v>22.33</v>
      </c>
      <c r="M9" s="32">
        <v>65.64</v>
      </c>
      <c r="N9" s="33">
        <v>56.5</v>
      </c>
      <c r="O9" s="66">
        <f t="shared" si="1"/>
        <v>0.21678241184821395</v>
      </c>
      <c r="P9" s="67">
        <f t="shared" si="2"/>
        <v>1.5646258315017057E-5</v>
      </c>
      <c r="Q9" s="30">
        <f t="shared" si="3"/>
        <v>8.5677013390630403</v>
      </c>
      <c r="R9" s="67">
        <f t="shared" si="4"/>
        <v>25.185128342861528</v>
      </c>
      <c r="S9" s="68">
        <v>1983</v>
      </c>
      <c r="T9" s="6">
        <v>3</v>
      </c>
      <c r="U9" s="6">
        <v>48</v>
      </c>
      <c r="V9" s="9">
        <v>320300000</v>
      </c>
      <c r="W9" s="9">
        <v>1630000</v>
      </c>
      <c r="X9" s="9">
        <v>2017</v>
      </c>
      <c r="Y9" s="3" t="s">
        <v>15</v>
      </c>
      <c r="Z9" s="25">
        <v>1</v>
      </c>
    </row>
    <row r="10" spans="1:26" ht="17.25" customHeight="1" x14ac:dyDescent="0.25">
      <c r="A10" s="83" t="s">
        <v>55</v>
      </c>
      <c r="B10" s="83" t="s">
        <v>108</v>
      </c>
      <c r="C10" s="83" t="s">
        <v>78</v>
      </c>
      <c r="D10" s="83" t="s">
        <v>50</v>
      </c>
      <c r="E10" s="85" t="s">
        <v>64</v>
      </c>
      <c r="F10" s="31">
        <f>369.31*10000</f>
        <v>3693100</v>
      </c>
      <c r="G10" s="31">
        <v>1632</v>
      </c>
      <c r="H10" s="31">
        <f t="shared" si="0"/>
        <v>2262.9289215686276</v>
      </c>
      <c r="I10" s="13"/>
      <c r="K10" s="9"/>
      <c r="L10" s="72">
        <v>13.43</v>
      </c>
      <c r="M10" s="32">
        <v>43.04</v>
      </c>
      <c r="N10" s="33">
        <v>25.9</v>
      </c>
      <c r="O10" s="66">
        <f t="shared" si="1"/>
        <v>1.5870098039215685E-2</v>
      </c>
      <c r="P10" s="67">
        <f t="shared" si="2"/>
        <v>7.0130784435839806E-6</v>
      </c>
      <c r="Q10" s="30">
        <f t="shared" si="3"/>
        <v>0.82291666666666663</v>
      </c>
      <c r="R10" s="67">
        <f t="shared" si="4"/>
        <v>2.6372549019607843</v>
      </c>
      <c r="S10" s="24">
        <v>2019</v>
      </c>
      <c r="T10" s="6">
        <v>2</v>
      </c>
      <c r="U10" s="6">
        <v>29</v>
      </c>
      <c r="Z10" s="25">
        <v>5</v>
      </c>
    </row>
    <row r="11" spans="1:26" ht="17.25" customHeight="1" x14ac:dyDescent="0.25">
      <c r="A11" s="6" t="s">
        <v>61</v>
      </c>
      <c r="B11" s="6" t="s">
        <v>107</v>
      </c>
      <c r="C11" s="16" t="s">
        <v>90</v>
      </c>
      <c r="D11" s="7" t="s">
        <v>0</v>
      </c>
      <c r="E11" s="7" t="s">
        <v>64</v>
      </c>
      <c r="F11" s="36">
        <v>3887261</v>
      </c>
      <c r="G11" s="35">
        <v>841.23999999996545</v>
      </c>
      <c r="H11" s="31">
        <f t="shared" si="0"/>
        <v>4620.8703818175072</v>
      </c>
      <c r="I11" s="5">
        <v>35.911681467860603</v>
      </c>
      <c r="J11" s="5">
        <v>7.0274203392999546</v>
      </c>
      <c r="K11" s="17">
        <v>2.6064498460523047</v>
      </c>
      <c r="L11" s="72">
        <v>14.6</v>
      </c>
      <c r="M11" s="32">
        <v>46.7</v>
      </c>
      <c r="N11" s="33">
        <v>35.799999999999997</v>
      </c>
      <c r="O11" s="66">
        <f t="shared" si="1"/>
        <v>4.2556226522753871E-2</v>
      </c>
      <c r="P11" s="67">
        <f t="shared" si="2"/>
        <v>9.2095694114699262E-6</v>
      </c>
      <c r="Q11" s="30">
        <f t="shared" si="3"/>
        <v>1.7355332604251581</v>
      </c>
      <c r="R11" s="67">
        <f t="shared" si="4"/>
        <v>5.5513289905380052</v>
      </c>
      <c r="S11" s="24">
        <v>1985</v>
      </c>
      <c r="T11" s="6">
        <v>3</v>
      </c>
      <c r="U11" s="6">
        <v>28</v>
      </c>
      <c r="V11" s="9">
        <v>93500000</v>
      </c>
      <c r="W11" s="9">
        <v>400000</v>
      </c>
      <c r="X11" s="9">
        <v>2023</v>
      </c>
      <c r="Y11" s="3" t="s">
        <v>12</v>
      </c>
      <c r="Z11" s="25">
        <v>5</v>
      </c>
    </row>
    <row r="12" spans="1:26" ht="17.25" customHeight="1" x14ac:dyDescent="0.25">
      <c r="A12" s="6" t="s">
        <v>55</v>
      </c>
      <c r="B12" s="6" t="s">
        <v>108</v>
      </c>
      <c r="C12" s="6" t="s">
        <v>79</v>
      </c>
      <c r="D12" s="6" t="s">
        <v>52</v>
      </c>
      <c r="E12" s="7" t="s">
        <v>64</v>
      </c>
      <c r="F12" s="31">
        <f>388.97*10000</f>
        <v>3889700.0000000005</v>
      </c>
      <c r="G12" s="31">
        <v>3798</v>
      </c>
      <c r="H12" s="31">
        <f t="shared" si="0"/>
        <v>1024.1442864665614</v>
      </c>
      <c r="I12" s="13"/>
      <c r="K12" s="9"/>
      <c r="L12" s="72">
        <v>38.19</v>
      </c>
      <c r="M12" s="32">
        <v>138.43</v>
      </c>
      <c r="N12" s="33">
        <v>94.5</v>
      </c>
      <c r="O12" s="66">
        <f t="shared" si="1"/>
        <v>2.4881516587677725E-2</v>
      </c>
      <c r="P12" s="67">
        <f t="shared" si="2"/>
        <v>2.4294932771164868E-5</v>
      </c>
      <c r="Q12" s="30">
        <f t="shared" si="3"/>
        <v>1.0055292259083728</v>
      </c>
      <c r="R12" s="67">
        <f t="shared" si="4"/>
        <v>3.6448130595050028</v>
      </c>
      <c r="S12" s="24">
        <v>2010</v>
      </c>
      <c r="T12" s="6">
        <v>3</v>
      </c>
      <c r="U12" s="6">
        <v>74</v>
      </c>
      <c r="Z12" s="25">
        <v>2</v>
      </c>
    </row>
    <row r="13" spans="1:26" ht="17.25" customHeight="1" x14ac:dyDescent="0.25">
      <c r="A13" s="6" t="s">
        <v>55</v>
      </c>
      <c r="B13" s="6" t="s">
        <v>108</v>
      </c>
      <c r="C13" s="6" t="s">
        <v>76</v>
      </c>
      <c r="D13" s="6" t="s">
        <v>49</v>
      </c>
      <c r="E13" s="7" t="s">
        <v>64</v>
      </c>
      <c r="F13" s="31">
        <f>399.28*10000</f>
        <v>3992799.9999999995</v>
      </c>
      <c r="G13" s="31">
        <v>1786</v>
      </c>
      <c r="H13" s="31">
        <f t="shared" si="0"/>
        <v>2235.6103023516234</v>
      </c>
      <c r="I13" s="13"/>
      <c r="K13" s="9"/>
      <c r="L13" s="71">
        <v>53.62</v>
      </c>
      <c r="M13" s="32">
        <v>168.41</v>
      </c>
      <c r="N13" s="33">
        <v>78.900000000000006</v>
      </c>
      <c r="O13" s="66">
        <f t="shared" si="1"/>
        <v>4.4176931690929455E-2</v>
      </c>
      <c r="P13" s="67">
        <f t="shared" si="2"/>
        <v>1.9760569024243642E-5</v>
      </c>
      <c r="Q13" s="30">
        <f t="shared" si="3"/>
        <v>3.0022396416573347</v>
      </c>
      <c r="R13" s="67">
        <f t="shared" si="4"/>
        <v>9.4294512877939525</v>
      </c>
      <c r="S13" s="24">
        <v>2016</v>
      </c>
      <c r="T13" s="6">
        <v>5</v>
      </c>
      <c r="U13" s="6">
        <v>100</v>
      </c>
      <c r="Z13" s="25">
        <v>2</v>
      </c>
    </row>
    <row r="14" spans="1:26" ht="17.25" customHeight="1" x14ac:dyDescent="0.25">
      <c r="A14" s="6" t="s">
        <v>56</v>
      </c>
      <c r="B14" s="6" t="s">
        <v>107</v>
      </c>
      <c r="C14" s="6" t="s">
        <v>91</v>
      </c>
      <c r="D14" s="7" t="s">
        <v>28</v>
      </c>
      <c r="E14" s="7" t="s">
        <v>64</v>
      </c>
      <c r="F14" s="82">
        <v>4016371</v>
      </c>
      <c r="G14" s="35">
        <v>384.43686323588486</v>
      </c>
      <c r="H14" s="31">
        <f t="shared" si="0"/>
        <v>10447.413825493662</v>
      </c>
      <c r="I14" s="17">
        <v>34.854906792999799</v>
      </c>
      <c r="J14" s="17">
        <v>6.1306332435345361</v>
      </c>
      <c r="K14" s="17">
        <v>2.3776702895347808</v>
      </c>
      <c r="L14" s="72">
        <v>7</v>
      </c>
      <c r="M14" s="32">
        <v>26.2</v>
      </c>
      <c r="N14" s="33">
        <v>31.4</v>
      </c>
      <c r="O14" s="66">
        <f t="shared" si="1"/>
        <v>8.1677911258820707E-2</v>
      </c>
      <c r="P14" s="67">
        <f t="shared" si="2"/>
        <v>7.8180028687588875E-6</v>
      </c>
      <c r="Q14" s="30">
        <f t="shared" si="3"/>
        <v>1.8208451554514173</v>
      </c>
      <c r="R14" s="67">
        <f t="shared" si="4"/>
        <v>6.8151632961181621</v>
      </c>
      <c r="S14" s="24">
        <v>2014</v>
      </c>
      <c r="T14" s="6">
        <v>2</v>
      </c>
      <c r="U14" s="6">
        <v>20</v>
      </c>
      <c r="V14" s="9">
        <v>62000000</v>
      </c>
      <c r="W14" s="9">
        <v>350000</v>
      </c>
      <c r="X14" s="9"/>
      <c r="Y14" s="3" t="s">
        <v>13</v>
      </c>
      <c r="Z14" s="25">
        <v>7</v>
      </c>
    </row>
    <row r="15" spans="1:26" ht="17.25" customHeight="1" x14ac:dyDescent="0.25">
      <c r="A15" s="6" t="s">
        <v>56</v>
      </c>
      <c r="B15" s="6" t="s">
        <v>107</v>
      </c>
      <c r="C15" s="18" t="s">
        <v>92</v>
      </c>
      <c r="D15" s="7" t="s">
        <v>96</v>
      </c>
      <c r="E15" s="7" t="s">
        <v>64</v>
      </c>
      <c r="F15" s="82">
        <v>4161237</v>
      </c>
      <c r="G15" s="35">
        <v>433.98</v>
      </c>
      <c r="H15" s="31">
        <f t="shared" si="0"/>
        <v>9588.5455550947045</v>
      </c>
      <c r="I15" s="17">
        <v>55.335856406287903</v>
      </c>
      <c r="J15" s="5">
        <v>5.8370003038828262</v>
      </c>
      <c r="K15" s="3">
        <v>2.1307638966666662</v>
      </c>
      <c r="L15" s="72">
        <v>11.53</v>
      </c>
      <c r="M15" s="32">
        <v>44.15</v>
      </c>
      <c r="N15" s="33">
        <v>38.299999999999997</v>
      </c>
      <c r="O15" s="66">
        <f t="shared" si="1"/>
        <v>8.8252914880870073E-2</v>
      </c>
      <c r="P15" s="67">
        <f t="shared" si="2"/>
        <v>9.2039939085420992E-6</v>
      </c>
      <c r="Q15" s="30">
        <f t="shared" si="3"/>
        <v>2.6568044610350707</v>
      </c>
      <c r="R15" s="67">
        <f t="shared" si="4"/>
        <v>10.173279874648602</v>
      </c>
      <c r="S15" s="24">
        <v>1985</v>
      </c>
      <c r="T15" s="6">
        <v>1</v>
      </c>
      <c r="U15" s="6">
        <v>22</v>
      </c>
      <c r="V15" s="9">
        <v>48100000</v>
      </c>
      <c r="W15" s="9">
        <v>200000</v>
      </c>
      <c r="X15" s="9">
        <v>2023</v>
      </c>
      <c r="Y15" s="3" t="s">
        <v>14</v>
      </c>
      <c r="Z15" s="25">
        <v>7</v>
      </c>
    </row>
    <row r="16" spans="1:26" ht="17.25" customHeight="1" x14ac:dyDescent="0.25">
      <c r="A16" s="6" t="s">
        <v>55</v>
      </c>
      <c r="B16" s="6" t="s">
        <v>108</v>
      </c>
      <c r="C16" s="6" t="s">
        <v>81</v>
      </c>
      <c r="D16" s="6" t="s">
        <v>48</v>
      </c>
      <c r="E16" s="7" t="s">
        <v>64</v>
      </c>
      <c r="F16" s="31">
        <f>443.11*10000</f>
        <v>4431100</v>
      </c>
      <c r="G16" s="31">
        <v>2965</v>
      </c>
      <c r="H16" s="31">
        <f t="shared" si="0"/>
        <v>1494.4688026981451</v>
      </c>
      <c r="I16" s="13"/>
      <c r="K16" s="9"/>
      <c r="L16" s="72">
        <v>17.579999999999998</v>
      </c>
      <c r="M16" s="32">
        <v>63.4</v>
      </c>
      <c r="N16" s="33">
        <v>20.3</v>
      </c>
      <c r="O16" s="66">
        <f t="shared" si="1"/>
        <v>6.8465430016863412E-3</v>
      </c>
      <c r="P16" s="67">
        <f t="shared" si="2"/>
        <v>4.5812552187944301E-6</v>
      </c>
      <c r="Q16" s="30">
        <f t="shared" si="3"/>
        <v>0.59291736930860028</v>
      </c>
      <c r="R16" s="67">
        <f t="shared" si="4"/>
        <v>2.1382799325463742</v>
      </c>
      <c r="S16" s="24">
        <v>2021</v>
      </c>
      <c r="T16" s="6">
        <v>2</v>
      </c>
      <c r="U16" s="6">
        <v>37</v>
      </c>
      <c r="Z16" s="25">
        <v>5</v>
      </c>
    </row>
    <row r="17" spans="1:26" ht="17.25" customHeight="1" x14ac:dyDescent="0.25">
      <c r="A17" s="6" t="s">
        <v>57</v>
      </c>
      <c r="B17" s="6" t="s">
        <v>107</v>
      </c>
      <c r="C17" s="14" t="s">
        <v>93</v>
      </c>
      <c r="D17" s="7" t="s">
        <v>27</v>
      </c>
      <c r="E17" s="7" t="s">
        <v>64</v>
      </c>
      <c r="F17" s="31">
        <v>4515531</v>
      </c>
      <c r="G17" s="31">
        <v>692.524</v>
      </c>
      <c r="H17" s="31">
        <f t="shared" si="0"/>
        <v>6520.3964050343384</v>
      </c>
      <c r="I17" s="2">
        <v>73.822313432835799</v>
      </c>
      <c r="J17" s="5">
        <v>10.387395631921864</v>
      </c>
      <c r="K17" s="5">
        <v>3.1557797047124545</v>
      </c>
      <c r="L17" s="72">
        <v>22.15</v>
      </c>
      <c r="M17" s="32">
        <v>60.02</v>
      </c>
      <c r="N17" s="33">
        <v>30.1</v>
      </c>
      <c r="O17" s="66">
        <f t="shared" si="1"/>
        <v>4.3464197630695832E-2</v>
      </c>
      <c r="P17" s="67">
        <f t="shared" si="2"/>
        <v>6.6658827057105804E-6</v>
      </c>
      <c r="Q17" s="30">
        <f t="shared" si="3"/>
        <v>3.1984451080395768</v>
      </c>
      <c r="R17" s="67">
        <f t="shared" si="4"/>
        <v>8.6668476471573541</v>
      </c>
      <c r="S17" s="68">
        <v>1989</v>
      </c>
      <c r="T17" s="6">
        <v>3</v>
      </c>
      <c r="U17" s="6">
        <v>48</v>
      </c>
      <c r="V17" s="9">
        <v>139500000</v>
      </c>
      <c r="W17" s="9">
        <v>382142</v>
      </c>
      <c r="X17" s="9">
        <v>2023</v>
      </c>
      <c r="Y17" s="3" t="s">
        <v>11</v>
      </c>
      <c r="Z17" s="25">
        <v>5</v>
      </c>
    </row>
    <row r="18" spans="1:26" ht="17.25" customHeight="1" x14ac:dyDescent="0.25">
      <c r="A18" s="6" t="s">
        <v>55</v>
      </c>
      <c r="B18" s="6" t="s">
        <v>108</v>
      </c>
      <c r="C18" s="6" t="s">
        <v>80</v>
      </c>
      <c r="D18" s="6" t="s">
        <v>34</v>
      </c>
      <c r="E18" s="7" t="s">
        <v>64</v>
      </c>
      <c r="F18" s="31">
        <f>462.18*10000</f>
        <v>4621800</v>
      </c>
      <c r="G18" s="31">
        <v>2525</v>
      </c>
      <c r="H18" s="31">
        <f t="shared" si="0"/>
        <v>1830.4158415841584</v>
      </c>
      <c r="I18" s="13"/>
      <c r="K18" s="9">
        <f>963420*2.5</f>
        <v>2408550</v>
      </c>
      <c r="L18" s="72">
        <v>40.619999999999997</v>
      </c>
      <c r="M18" s="32">
        <v>135.26</v>
      </c>
      <c r="N18" s="33">
        <v>76.8</v>
      </c>
      <c r="O18" s="66">
        <f t="shared" si="1"/>
        <v>3.0415841584158415E-2</v>
      </c>
      <c r="P18" s="67">
        <f t="shared" si="2"/>
        <v>1.6616902505517329E-5</v>
      </c>
      <c r="Q18" s="30">
        <f t="shared" si="3"/>
        <v>1.6087128712871286</v>
      </c>
      <c r="R18" s="67">
        <f t="shared" si="4"/>
        <v>5.3568316831683171</v>
      </c>
      <c r="S18" s="24">
        <v>2017</v>
      </c>
      <c r="T18" s="6">
        <v>3</v>
      </c>
      <c r="U18" s="6">
        <v>82</v>
      </c>
      <c r="Y18" s="3" t="s">
        <v>36</v>
      </c>
      <c r="Z18" s="25">
        <v>2</v>
      </c>
    </row>
    <row r="19" spans="1:26" ht="17.7" customHeight="1" x14ac:dyDescent="0.25">
      <c r="A19" s="6" t="s">
        <v>55</v>
      </c>
      <c r="B19" s="6" t="s">
        <v>108</v>
      </c>
      <c r="C19" s="6" t="s">
        <v>111</v>
      </c>
      <c r="D19" s="6" t="s">
        <v>45</v>
      </c>
      <c r="E19" s="7" t="s">
        <v>64</v>
      </c>
      <c r="F19" s="31">
        <f>470.14*10000</f>
        <v>4701400</v>
      </c>
      <c r="G19" s="31">
        <v>2838</v>
      </c>
      <c r="H19" s="31">
        <f t="shared" si="0"/>
        <v>1656.5891472868218</v>
      </c>
      <c r="I19" s="13"/>
      <c r="K19" s="9"/>
      <c r="L19" s="72">
        <v>20.88</v>
      </c>
      <c r="M19" s="32">
        <v>71.63</v>
      </c>
      <c r="N19" s="33">
        <v>54</v>
      </c>
      <c r="O19" s="66">
        <f t="shared" si="1"/>
        <v>1.9027484143763214E-2</v>
      </c>
      <c r="P19" s="67">
        <f t="shared" si="2"/>
        <v>1.1485940358191178E-5</v>
      </c>
      <c r="Q19" s="30">
        <f t="shared" si="3"/>
        <v>0.73572938689217759</v>
      </c>
      <c r="R19" s="67">
        <f t="shared" si="4"/>
        <v>2.5239605355884427</v>
      </c>
      <c r="S19" s="24">
        <v>2019</v>
      </c>
      <c r="T19" s="6">
        <v>2</v>
      </c>
      <c r="U19" s="6">
        <v>44</v>
      </c>
      <c r="Z19" s="25">
        <v>5</v>
      </c>
    </row>
    <row r="20" spans="1:26" ht="17.25" customHeight="1" x14ac:dyDescent="0.25">
      <c r="A20" s="6" t="s">
        <v>56</v>
      </c>
      <c r="B20" s="6" t="s">
        <v>107</v>
      </c>
      <c r="C20" s="14" t="s">
        <v>94</v>
      </c>
      <c r="D20" s="7" t="s">
        <v>26</v>
      </c>
      <c r="E20" s="7" t="s">
        <v>65</v>
      </c>
      <c r="F20" s="31">
        <v>5609654</v>
      </c>
      <c r="G20" s="31">
        <v>603</v>
      </c>
      <c r="H20" s="31">
        <f t="shared" si="0"/>
        <v>9302.9087893864016</v>
      </c>
      <c r="I20" s="2">
        <v>68.766104958611805</v>
      </c>
      <c r="J20" s="12">
        <v>12.632550311070631</v>
      </c>
      <c r="K20" s="12">
        <v>3.2753302151274384</v>
      </c>
      <c r="L20" s="72">
        <v>10.48</v>
      </c>
      <c r="M20" s="32">
        <v>36.6</v>
      </c>
      <c r="N20" s="33">
        <v>27.9</v>
      </c>
      <c r="O20" s="66">
        <f t="shared" si="1"/>
        <v>4.6268656716417909E-2</v>
      </c>
      <c r="P20" s="67">
        <f t="shared" si="2"/>
        <v>4.9735687798213573E-6</v>
      </c>
      <c r="Q20" s="30">
        <f t="shared" si="3"/>
        <v>1.7379767827529022</v>
      </c>
      <c r="R20" s="67">
        <f t="shared" si="4"/>
        <v>6.0696517412935327</v>
      </c>
      <c r="S20" s="68">
        <v>1986</v>
      </c>
      <c r="T20" s="6">
        <v>1</v>
      </c>
      <c r="U20" s="6">
        <v>19</v>
      </c>
      <c r="V20" s="16">
        <v>54400000</v>
      </c>
      <c r="W20" s="9">
        <v>100000</v>
      </c>
      <c r="X20" s="9">
        <v>2023</v>
      </c>
      <c r="Y20" s="3" t="s">
        <v>10</v>
      </c>
      <c r="Z20" s="25">
        <v>5</v>
      </c>
    </row>
    <row r="21" spans="1:26" ht="17.7" customHeight="1" x14ac:dyDescent="0.25">
      <c r="A21" s="6" t="s">
        <v>60</v>
      </c>
      <c r="B21" s="6" t="s">
        <v>107</v>
      </c>
      <c r="C21" s="7" t="s">
        <v>25</v>
      </c>
      <c r="D21" s="7" t="s">
        <v>25</v>
      </c>
      <c r="E21" s="7" t="s">
        <v>65</v>
      </c>
      <c r="F21" s="34">
        <v>5842259</v>
      </c>
      <c r="G21" s="36">
        <v>662</v>
      </c>
      <c r="H21" s="31">
        <f t="shared" si="0"/>
        <v>8825.1646525679753</v>
      </c>
      <c r="I21" s="19">
        <v>107.40248972133399</v>
      </c>
      <c r="J21" s="20">
        <v>13.726144366142044</v>
      </c>
      <c r="K21" s="21">
        <v>5.4799499999999997</v>
      </c>
      <c r="L21" s="72">
        <v>60.87</v>
      </c>
      <c r="M21" s="32">
        <v>170.8</v>
      </c>
      <c r="N21" s="33">
        <v>154.4</v>
      </c>
      <c r="O21" s="66">
        <f t="shared" si="1"/>
        <v>0.23323262839879155</v>
      </c>
      <c r="P21" s="67">
        <f t="shared" si="2"/>
        <v>2.6428133364166158E-5</v>
      </c>
      <c r="Q21" s="30">
        <f t="shared" si="3"/>
        <v>9.1948640483383688</v>
      </c>
      <c r="R21" s="67">
        <f t="shared" si="4"/>
        <v>25.800604229607252</v>
      </c>
      <c r="S21" s="69">
        <v>1975</v>
      </c>
      <c r="T21" s="16">
        <v>7</v>
      </c>
      <c r="U21" s="16">
        <v>143</v>
      </c>
      <c r="V21" s="16">
        <v>599090000</v>
      </c>
      <c r="W21" s="16">
        <v>2030000</v>
      </c>
      <c r="X21" s="9">
        <v>2023</v>
      </c>
      <c r="Y21" s="3" t="s">
        <v>9</v>
      </c>
      <c r="Z21" s="25">
        <v>1</v>
      </c>
    </row>
    <row r="22" spans="1:26" ht="17.55" customHeight="1" x14ac:dyDescent="0.25">
      <c r="A22" s="6" t="s">
        <v>55</v>
      </c>
      <c r="B22" s="6" t="s">
        <v>108</v>
      </c>
      <c r="C22" s="14" t="s">
        <v>82</v>
      </c>
      <c r="D22" s="6" t="s">
        <v>47</v>
      </c>
      <c r="E22" s="7" t="s">
        <v>65</v>
      </c>
      <c r="F22" s="31">
        <f>625.73*10000</f>
        <v>6257300</v>
      </c>
      <c r="G22" s="31">
        <v>3303</v>
      </c>
      <c r="H22" s="31">
        <f t="shared" si="0"/>
        <v>1894.429306690887</v>
      </c>
      <c r="I22" s="13"/>
      <c r="K22" s="9"/>
      <c r="L22" s="72">
        <v>24.66</v>
      </c>
      <c r="M22" s="32">
        <v>90.09</v>
      </c>
      <c r="N22" s="33">
        <v>84.25</v>
      </c>
      <c r="O22" s="66">
        <f t="shared" si="1"/>
        <v>2.5507114744171965E-2</v>
      </c>
      <c r="P22" s="67">
        <f t="shared" si="2"/>
        <v>1.3464273728285362E-5</v>
      </c>
      <c r="Q22" s="30">
        <f t="shared" si="3"/>
        <v>0.74659400544959131</v>
      </c>
      <c r="R22" s="67">
        <f t="shared" si="4"/>
        <v>2.7275204359673024</v>
      </c>
      <c r="S22" s="24">
        <v>2019</v>
      </c>
      <c r="T22" s="6">
        <v>3</v>
      </c>
      <c r="U22" s="6">
        <v>40</v>
      </c>
      <c r="V22" s="9"/>
      <c r="Z22" s="25">
        <v>5</v>
      </c>
    </row>
    <row r="23" spans="1:26" ht="17.55" customHeight="1" x14ac:dyDescent="0.25">
      <c r="A23" s="6" t="s">
        <v>55</v>
      </c>
      <c r="B23" s="6" t="s">
        <v>108</v>
      </c>
      <c r="C23" s="14" t="s">
        <v>83</v>
      </c>
      <c r="D23" s="6" t="s">
        <v>51</v>
      </c>
      <c r="E23" s="7" t="s">
        <v>65</v>
      </c>
      <c r="F23" s="31">
        <f>828.27*10000</f>
        <v>8282700</v>
      </c>
      <c r="G23" s="31">
        <v>1909</v>
      </c>
      <c r="H23" s="31">
        <f t="shared" si="0"/>
        <v>4338.7637506547935</v>
      </c>
      <c r="I23" s="13"/>
      <c r="K23" s="9"/>
      <c r="L23" s="71">
        <v>70.66</v>
      </c>
      <c r="M23" s="32">
        <v>230.6</v>
      </c>
      <c r="N23" s="33">
        <v>142.6</v>
      </c>
      <c r="O23" s="66">
        <f t="shared" si="1"/>
        <v>7.4698795180722893E-2</v>
      </c>
      <c r="P23" s="67">
        <f t="shared" si="2"/>
        <v>1.7216608110881718E-5</v>
      </c>
      <c r="Q23" s="30">
        <f t="shared" si="3"/>
        <v>3.7014143530644317</v>
      </c>
      <c r="R23" s="67">
        <f t="shared" si="4"/>
        <v>12.079622839182818</v>
      </c>
      <c r="S23" s="24">
        <v>2014</v>
      </c>
      <c r="T23" s="6">
        <v>7</v>
      </c>
      <c r="U23" s="6">
        <v>158</v>
      </c>
      <c r="V23" s="9"/>
      <c r="Z23" s="25">
        <v>7</v>
      </c>
    </row>
    <row r="24" spans="1:26" ht="17.55" customHeight="1" x14ac:dyDescent="0.25">
      <c r="A24" s="6" t="s">
        <v>55</v>
      </c>
      <c r="B24" s="6" t="s">
        <v>108</v>
      </c>
      <c r="C24" s="14" t="s">
        <v>84</v>
      </c>
      <c r="D24" s="6" t="s">
        <v>42</v>
      </c>
      <c r="E24" s="7" t="s">
        <v>65</v>
      </c>
      <c r="F24" s="31">
        <f>870.56*10000</f>
        <v>8705600</v>
      </c>
      <c r="G24" s="31">
        <v>3874</v>
      </c>
      <c r="H24" s="31">
        <f t="shared" si="0"/>
        <v>2247.1863706763033</v>
      </c>
      <c r="I24" s="13"/>
      <c r="K24" s="9"/>
      <c r="L24" s="71">
        <v>98.89</v>
      </c>
      <c r="M24" s="32">
        <v>338.42</v>
      </c>
      <c r="N24" s="33">
        <v>256.2</v>
      </c>
      <c r="O24" s="66">
        <f t="shared" si="1"/>
        <v>6.6133195663396996E-2</v>
      </c>
      <c r="P24" s="67">
        <f t="shared" si="2"/>
        <v>2.9429332843227347E-5</v>
      </c>
      <c r="Q24" s="73">
        <f t="shared" si="3"/>
        <v>2.5526587506453278</v>
      </c>
      <c r="R24" s="67">
        <f t="shared" si="4"/>
        <v>8.7356737222509029</v>
      </c>
      <c r="S24" s="24">
        <v>2011</v>
      </c>
      <c r="T24" s="6">
        <v>9</v>
      </c>
      <c r="U24" s="6">
        <v>212</v>
      </c>
      <c r="V24" s="9"/>
      <c r="Z24" s="25">
        <v>4</v>
      </c>
    </row>
    <row r="25" spans="1:26" ht="17.55" customHeight="1" x14ac:dyDescent="0.25">
      <c r="A25" s="6" t="s">
        <v>59</v>
      </c>
      <c r="B25" s="6" t="s">
        <v>107</v>
      </c>
      <c r="C25" s="7" t="s">
        <v>24</v>
      </c>
      <c r="D25" s="7" t="s">
        <v>24</v>
      </c>
      <c r="E25" s="7" t="s">
        <v>65</v>
      </c>
      <c r="F25" s="31">
        <v>9752000</v>
      </c>
      <c r="G25" s="31">
        <v>798.6</v>
      </c>
      <c r="H25" s="31">
        <f t="shared" si="0"/>
        <v>12211.36989732031</v>
      </c>
      <c r="I25" s="2">
        <v>67.723247232472303</v>
      </c>
      <c r="J25" s="5">
        <v>22.262</v>
      </c>
      <c r="K25" s="5">
        <v>11.345000000000001</v>
      </c>
      <c r="L25" s="71">
        <v>15.48</v>
      </c>
      <c r="M25" s="32">
        <v>53.8</v>
      </c>
      <c r="N25" s="33">
        <v>22.5</v>
      </c>
      <c r="O25" s="66">
        <f t="shared" si="1"/>
        <v>2.8174305033809164E-2</v>
      </c>
      <c r="P25" s="67">
        <f t="shared" si="2"/>
        <v>2.3072190319934373E-6</v>
      </c>
      <c r="Q25" s="30">
        <f t="shared" si="3"/>
        <v>1.9383921863260705</v>
      </c>
      <c r="R25" s="67">
        <f t="shared" si="4"/>
        <v>6.7367893814174806</v>
      </c>
      <c r="S25" s="68">
        <v>2011</v>
      </c>
      <c r="T25" s="6">
        <v>2</v>
      </c>
      <c r="U25" s="6">
        <f>26+27</f>
        <v>53</v>
      </c>
      <c r="V25" s="9">
        <v>110400000</v>
      </c>
      <c r="W25" s="9">
        <v>550000</v>
      </c>
      <c r="X25" s="9"/>
      <c r="Z25" s="25">
        <v>5</v>
      </c>
    </row>
    <row r="26" spans="1:26" ht="17.25" customHeight="1" x14ac:dyDescent="0.25">
      <c r="A26" s="6" t="s">
        <v>56</v>
      </c>
      <c r="B26" s="6" t="s">
        <v>107</v>
      </c>
      <c r="C26" s="18" t="s">
        <v>23</v>
      </c>
      <c r="D26" s="7" t="s">
        <v>23</v>
      </c>
      <c r="E26" s="6" t="s">
        <v>66</v>
      </c>
      <c r="F26" s="82">
        <v>12156624</v>
      </c>
      <c r="G26" s="35">
        <v>900</v>
      </c>
      <c r="H26" s="31">
        <f t="shared" si="0"/>
        <v>13507.36</v>
      </c>
      <c r="I26" s="17">
        <v>153.38783126843302</v>
      </c>
      <c r="J26" s="17">
        <v>22.076110365024793</v>
      </c>
      <c r="K26" s="17">
        <v>10.535286623474565</v>
      </c>
      <c r="L26" s="71">
        <v>20.18</v>
      </c>
      <c r="M26" s="32">
        <v>63.6</v>
      </c>
      <c r="N26" s="33">
        <v>161.30000000000001</v>
      </c>
      <c r="O26" s="66">
        <f t="shared" si="1"/>
        <v>0.17922222222222223</v>
      </c>
      <c r="P26" s="67">
        <f t="shared" si="2"/>
        <v>1.3268486382403536E-5</v>
      </c>
      <c r="Q26" s="30">
        <f t="shared" si="3"/>
        <v>2.2422222222222223</v>
      </c>
      <c r="R26" s="67">
        <f t="shared" si="4"/>
        <v>7.0666666666666664</v>
      </c>
      <c r="S26" s="24">
        <v>1979</v>
      </c>
      <c r="T26" s="6">
        <v>3</v>
      </c>
      <c r="U26" s="6">
        <v>41</v>
      </c>
      <c r="V26" s="9">
        <v>188861315</v>
      </c>
      <c r="W26" s="9">
        <v>2024</v>
      </c>
      <c r="X26" s="9">
        <v>2016</v>
      </c>
      <c r="Y26" s="3" t="s">
        <v>8</v>
      </c>
      <c r="Z26" s="25">
        <v>7</v>
      </c>
    </row>
    <row r="27" spans="1:26" ht="17.7" customHeight="1" x14ac:dyDescent="0.25">
      <c r="A27" s="6" t="s">
        <v>55</v>
      </c>
      <c r="B27" s="6" t="s">
        <v>108</v>
      </c>
      <c r="C27" s="6" t="s">
        <v>44</v>
      </c>
      <c r="D27" s="6" t="s">
        <v>44</v>
      </c>
      <c r="E27" s="6" t="s">
        <v>66</v>
      </c>
      <c r="F27" s="31">
        <f>1439*10000</f>
        <v>14390000</v>
      </c>
      <c r="G27" s="31">
        <v>11917</v>
      </c>
      <c r="H27" s="31">
        <f t="shared" si="0"/>
        <v>1207.5186708064109</v>
      </c>
      <c r="L27" s="71">
        <v>107.9</v>
      </c>
      <c r="M27" s="32">
        <v>231.58</v>
      </c>
      <c r="N27" s="33">
        <v>256.2</v>
      </c>
      <c r="O27" s="66">
        <f t="shared" si="1"/>
        <v>2.149869933708148E-2</v>
      </c>
      <c r="P27" s="67">
        <f t="shared" si="2"/>
        <v>1.7804030576789436E-5</v>
      </c>
      <c r="Q27" s="30">
        <f t="shared" si="3"/>
        <v>0.90542921876311155</v>
      </c>
      <c r="R27" s="67">
        <f t="shared" si="4"/>
        <v>1.9432743140052027</v>
      </c>
      <c r="S27" s="25">
        <v>1984</v>
      </c>
      <c r="T27" s="6">
        <v>10</v>
      </c>
      <c r="U27" s="6">
        <v>218</v>
      </c>
      <c r="Z27" s="25">
        <v>2</v>
      </c>
    </row>
    <row r="28" spans="1:26" ht="17.55" customHeight="1" x14ac:dyDescent="0.25">
      <c r="A28" s="6" t="s">
        <v>55</v>
      </c>
      <c r="B28" s="6" t="s">
        <v>108</v>
      </c>
      <c r="C28" s="14" t="s">
        <v>85</v>
      </c>
      <c r="D28" s="6" t="s">
        <v>43</v>
      </c>
      <c r="E28" s="6" t="s">
        <v>66</v>
      </c>
      <c r="F28" s="31">
        <f>1465.75*10000</f>
        <v>14657500</v>
      </c>
      <c r="G28" s="31">
        <v>3240</v>
      </c>
      <c r="H28" s="31">
        <f t="shared" si="0"/>
        <v>4523.9197530864194</v>
      </c>
      <c r="L28" s="71">
        <v>142.80000000000001</v>
      </c>
      <c r="M28" s="32">
        <v>448.32</v>
      </c>
      <c r="N28" s="33">
        <v>439.7</v>
      </c>
      <c r="O28" s="66">
        <f t="shared" si="1"/>
        <v>0.13570987654320987</v>
      </c>
      <c r="P28" s="67">
        <f t="shared" si="2"/>
        <v>2.9998294388538289E-5</v>
      </c>
      <c r="Q28" s="73">
        <f t="shared" si="3"/>
        <v>4.4074074074074083</v>
      </c>
      <c r="R28" s="67">
        <f t="shared" si="4"/>
        <v>13.837037037037037</v>
      </c>
      <c r="S28" s="25">
        <v>2010</v>
      </c>
      <c r="T28" s="6">
        <v>13</v>
      </c>
      <c r="U28" s="6">
        <v>373</v>
      </c>
      <c r="Z28" s="25">
        <v>4</v>
      </c>
    </row>
    <row r="29" spans="1:26" ht="17.55" customHeight="1" x14ac:dyDescent="0.25">
      <c r="A29" s="6" t="s">
        <v>58</v>
      </c>
      <c r="B29" s="6" t="s">
        <v>107</v>
      </c>
      <c r="C29" s="7" t="s">
        <v>22</v>
      </c>
      <c r="D29" s="7" t="s">
        <v>22</v>
      </c>
      <c r="E29" s="6" t="s">
        <v>66</v>
      </c>
      <c r="F29" s="36">
        <v>15769937.907311</v>
      </c>
      <c r="G29" s="31">
        <v>3883</v>
      </c>
      <c r="H29" s="31">
        <f t="shared" si="0"/>
        <v>4061.2768239276334</v>
      </c>
      <c r="I29" s="2">
        <v>75.661355556425903</v>
      </c>
      <c r="J29" s="8">
        <v>34.376628138984564</v>
      </c>
      <c r="K29" s="5">
        <v>12.499173510476242</v>
      </c>
      <c r="L29" s="71">
        <v>39.28</v>
      </c>
      <c r="M29" s="32">
        <v>73.400000000000006</v>
      </c>
      <c r="N29" s="33">
        <v>57</v>
      </c>
      <c r="O29" s="66">
        <f t="shared" si="1"/>
        <v>1.4679371619881535E-2</v>
      </c>
      <c r="P29" s="67">
        <f t="shared" si="2"/>
        <v>3.6144720629226192E-6</v>
      </c>
      <c r="Q29" s="30">
        <f t="shared" si="3"/>
        <v>1.0115889775946434</v>
      </c>
      <c r="R29" s="67">
        <f t="shared" si="4"/>
        <v>1.8902910121040435</v>
      </c>
      <c r="S29" s="68">
        <v>1913</v>
      </c>
      <c r="T29" s="6">
        <v>6</v>
      </c>
      <c r="U29" s="6">
        <v>108</v>
      </c>
      <c r="V29" s="9">
        <v>302850000</v>
      </c>
      <c r="W29" s="9"/>
      <c r="X29" s="9">
        <v>2023</v>
      </c>
      <c r="Y29" s="15" t="s">
        <v>37</v>
      </c>
      <c r="Z29" s="25">
        <v>5</v>
      </c>
    </row>
    <row r="30" spans="1:26" ht="16.8" customHeight="1" x14ac:dyDescent="0.25">
      <c r="A30" s="6" t="s">
        <v>57</v>
      </c>
      <c r="B30" s="6" t="s">
        <v>107</v>
      </c>
      <c r="C30" s="7" t="s">
        <v>20</v>
      </c>
      <c r="D30" s="7" t="s">
        <v>20</v>
      </c>
      <c r="E30" s="6" t="s">
        <v>66</v>
      </c>
      <c r="F30" s="31">
        <v>20392950</v>
      </c>
      <c r="G30" s="31">
        <v>2608.5744249999998</v>
      </c>
      <c r="H30" s="31">
        <f t="shared" si="0"/>
        <v>7817.6607899542687</v>
      </c>
      <c r="I30" s="15">
        <v>192.620223880597</v>
      </c>
      <c r="J30" s="5">
        <v>43.116880000000002</v>
      </c>
      <c r="K30" s="5">
        <v>25.246925999999998</v>
      </c>
      <c r="L30" s="71">
        <v>72.81</v>
      </c>
      <c r="M30" s="32">
        <v>206.8</v>
      </c>
      <c r="N30" s="33">
        <v>225.1</v>
      </c>
      <c r="O30" s="66">
        <f t="shared" si="1"/>
        <v>8.6292343374485089E-2</v>
      </c>
      <c r="P30" s="67">
        <f t="shared" si="2"/>
        <v>1.1038128372795501E-5</v>
      </c>
      <c r="Q30" s="30">
        <f t="shared" si="3"/>
        <v>2.7911797072839892</v>
      </c>
      <c r="R30" s="67">
        <f t="shared" si="4"/>
        <v>7.9277017369362586</v>
      </c>
      <c r="S30" s="68">
        <v>1969</v>
      </c>
      <c r="T30" s="6">
        <v>12</v>
      </c>
      <c r="U30" s="6">
        <v>195</v>
      </c>
      <c r="V30" s="9">
        <v>1057461875</v>
      </c>
      <c r="W30" s="9"/>
      <c r="X30" s="9">
        <v>2022</v>
      </c>
      <c r="Y30" s="3" t="s">
        <v>4</v>
      </c>
      <c r="Z30" s="25">
        <v>7</v>
      </c>
    </row>
    <row r="31" spans="1:26" x14ac:dyDescent="0.25">
      <c r="A31" s="6" t="s">
        <v>56</v>
      </c>
      <c r="B31" s="6" t="s">
        <v>107</v>
      </c>
      <c r="C31" s="7" t="s">
        <v>21</v>
      </c>
      <c r="D31" s="7" t="s">
        <v>21</v>
      </c>
      <c r="E31" s="6" t="s">
        <v>66</v>
      </c>
      <c r="F31" s="36">
        <v>20935204</v>
      </c>
      <c r="G31" s="34">
        <v>2209</v>
      </c>
      <c r="H31" s="31">
        <f t="shared" si="0"/>
        <v>9477.2313263920332</v>
      </c>
      <c r="I31" s="20">
        <v>372.18115696733298</v>
      </c>
      <c r="J31" s="20">
        <v>42.826424487983047</v>
      </c>
      <c r="K31" s="20">
        <v>13.957219982354985</v>
      </c>
      <c r="L31" s="71">
        <v>42.33</v>
      </c>
      <c r="M31" s="32">
        <v>126.1</v>
      </c>
      <c r="N31" s="33">
        <v>288.10000000000002</v>
      </c>
      <c r="O31" s="66">
        <f t="shared" si="1"/>
        <v>0.1304210049796288</v>
      </c>
      <c r="P31" s="67">
        <f t="shared" si="2"/>
        <v>1.3761509082978127E-5</v>
      </c>
      <c r="Q31" s="30">
        <f t="shared" si="3"/>
        <v>1.9162516976007242</v>
      </c>
      <c r="R31" s="67">
        <f t="shared" si="4"/>
        <v>5.708465368945224</v>
      </c>
      <c r="S31" s="69">
        <v>1974</v>
      </c>
      <c r="T31" s="6">
        <v>13</v>
      </c>
      <c r="U31" s="6">
        <v>89</v>
      </c>
      <c r="V31" s="9">
        <v>1104200000</v>
      </c>
      <c r="W31" s="9">
        <v>2610000</v>
      </c>
      <c r="X31" s="9">
        <v>2022</v>
      </c>
      <c r="Y31" s="3" t="s">
        <v>7</v>
      </c>
      <c r="Z31" s="25">
        <v>7</v>
      </c>
    </row>
    <row r="32" spans="1:26" x14ac:dyDescent="0.25">
      <c r="A32" s="6" t="s">
        <v>55</v>
      </c>
      <c r="B32" s="6" t="s">
        <v>108</v>
      </c>
      <c r="C32" s="6" t="s">
        <v>33</v>
      </c>
      <c r="D32" s="6" t="s">
        <v>33</v>
      </c>
      <c r="E32" s="6" t="s">
        <v>66</v>
      </c>
      <c r="F32" s="31">
        <f>2188.3*10000</f>
        <v>21883000</v>
      </c>
      <c r="G32" s="31">
        <v>16411</v>
      </c>
      <c r="H32" s="31">
        <f t="shared" si="0"/>
        <v>1333.4348912314911</v>
      </c>
      <c r="I32" s="13"/>
      <c r="K32" s="9">
        <v>16480000</v>
      </c>
      <c r="L32" s="71">
        <v>188.41</v>
      </c>
      <c r="M32" s="32">
        <v>623.36</v>
      </c>
      <c r="N32" s="33">
        <v>721.6</v>
      </c>
      <c r="O32" s="66">
        <f t="shared" si="1"/>
        <v>4.3970507586374996E-2</v>
      </c>
      <c r="P32" s="67">
        <f t="shared" si="2"/>
        <v>3.2975369007905682E-5</v>
      </c>
      <c r="Q32" s="30">
        <f t="shared" si="3"/>
        <v>1.1480714155139846</v>
      </c>
      <c r="R32" s="67">
        <f t="shared" si="4"/>
        <v>3.7984278837365184</v>
      </c>
      <c r="S32" s="25">
        <v>1971</v>
      </c>
      <c r="T32" s="6">
        <v>27</v>
      </c>
      <c r="U32" s="6">
        <v>490</v>
      </c>
      <c r="V32" s="9">
        <v>3848400000</v>
      </c>
      <c r="W32" s="9" t="s">
        <v>35</v>
      </c>
      <c r="X32" s="9">
        <v>2018</v>
      </c>
      <c r="Y32" s="3" t="s">
        <v>38</v>
      </c>
      <c r="Z32" s="25">
        <v>2</v>
      </c>
    </row>
    <row r="33" spans="1:26" x14ac:dyDescent="0.25">
      <c r="A33" s="6" t="s">
        <v>55</v>
      </c>
      <c r="B33" s="6" t="s">
        <v>108</v>
      </c>
      <c r="C33" s="6" t="s">
        <v>41</v>
      </c>
      <c r="D33" s="6" t="s">
        <v>41</v>
      </c>
      <c r="E33" s="6" t="s">
        <v>66</v>
      </c>
      <c r="F33" s="31">
        <f>2415.27*10000</f>
        <v>24152700</v>
      </c>
      <c r="G33" s="31">
        <v>6341</v>
      </c>
      <c r="H33" s="31">
        <f t="shared" si="0"/>
        <v>3808.9733480523578</v>
      </c>
      <c r="L33" s="71">
        <v>135.63</v>
      </c>
      <c r="M33" s="32">
        <v>438.85</v>
      </c>
      <c r="N33" s="33">
        <v>940.2</v>
      </c>
      <c r="O33" s="66">
        <f t="shared" si="1"/>
        <v>0.14827314303737582</v>
      </c>
      <c r="P33" s="67">
        <f t="shared" si="2"/>
        <v>3.8927324895353319E-5</v>
      </c>
      <c r="Q33" s="73">
        <f t="shared" si="3"/>
        <v>2.1389370761709507</v>
      </c>
      <c r="R33" s="67">
        <f t="shared" si="4"/>
        <v>6.9208326762340322</v>
      </c>
      <c r="S33" s="25">
        <v>1993</v>
      </c>
      <c r="T33" s="3">
        <v>19</v>
      </c>
      <c r="U33" s="6">
        <v>506</v>
      </c>
      <c r="Z33" s="25">
        <v>4</v>
      </c>
    </row>
    <row r="34" spans="1:26" x14ac:dyDescent="0.25">
      <c r="P34" s="29"/>
      <c r="Q34" s="64"/>
    </row>
    <row r="35" spans="1:26" x14ac:dyDescent="0.25">
      <c r="L35" s="71"/>
      <c r="M35" s="26"/>
      <c r="O35" s="26"/>
    </row>
    <row r="36" spans="1:26" x14ac:dyDescent="0.25">
      <c r="M36" s="26"/>
      <c r="O36" s="26"/>
    </row>
    <row r="37" spans="1:26" x14ac:dyDescent="0.25">
      <c r="M37" s="26"/>
      <c r="O37" s="26"/>
    </row>
    <row r="38" spans="1:26" x14ac:dyDescent="0.25">
      <c r="M38" s="26"/>
      <c r="O38" s="26"/>
    </row>
    <row r="39" spans="1:26" x14ac:dyDescent="0.25">
      <c r="D39" s="18"/>
      <c r="E39" s="18"/>
      <c r="M39" s="26"/>
      <c r="O39" s="26"/>
    </row>
    <row r="40" spans="1:26" x14ac:dyDescent="0.25">
      <c r="C40" s="39"/>
      <c r="D40" s="18"/>
      <c r="M40" s="26"/>
      <c r="O40" s="26"/>
    </row>
    <row r="41" spans="1:26" x14ac:dyDescent="0.25">
      <c r="D41" s="18"/>
      <c r="M41" s="26"/>
      <c r="O41" s="26"/>
    </row>
    <row r="42" spans="1:26" x14ac:dyDescent="0.25">
      <c r="M42" s="26"/>
      <c r="O42" s="26"/>
    </row>
    <row r="43" spans="1:26" x14ac:dyDescent="0.25">
      <c r="M43" s="26"/>
      <c r="O43" s="26"/>
    </row>
    <row r="44" spans="1:26" x14ac:dyDescent="0.25">
      <c r="M44" s="26"/>
      <c r="O44" s="26"/>
    </row>
    <row r="45" spans="1:26" x14ac:dyDescent="0.25">
      <c r="M45" s="26"/>
      <c r="O45" s="26"/>
    </row>
    <row r="46" spans="1:26" x14ac:dyDescent="0.25">
      <c r="M46" s="26"/>
      <c r="O46" s="26"/>
    </row>
    <row r="47" spans="1:26" x14ac:dyDescent="0.25">
      <c r="M47" s="26"/>
      <c r="O47" s="26"/>
    </row>
    <row r="48" spans="1:26" x14ac:dyDescent="0.25">
      <c r="M48" s="26"/>
      <c r="O48" s="26"/>
    </row>
    <row r="49" spans="13:15" x14ac:dyDescent="0.25">
      <c r="M49" s="26"/>
      <c r="O49" s="26"/>
    </row>
    <row r="50" spans="13:15" x14ac:dyDescent="0.25">
      <c r="M50" s="26"/>
      <c r="O50" s="26"/>
    </row>
    <row r="51" spans="13:15" x14ac:dyDescent="0.25">
      <c r="M51" s="26"/>
      <c r="O51" s="26"/>
    </row>
    <row r="52" spans="13:15" x14ac:dyDescent="0.25">
      <c r="M52" s="26"/>
      <c r="O52" s="26"/>
    </row>
    <row r="53" spans="13:15" x14ac:dyDescent="0.25">
      <c r="M53" s="26"/>
      <c r="O53" s="26"/>
    </row>
    <row r="54" spans="13:15" x14ac:dyDescent="0.25">
      <c r="M54" s="26"/>
      <c r="O54" s="26"/>
    </row>
    <row r="55" spans="13:15" x14ac:dyDescent="0.25">
      <c r="M55" s="26"/>
      <c r="O55" s="26"/>
    </row>
    <row r="56" spans="13:15" x14ac:dyDescent="0.25">
      <c r="M56" s="26"/>
      <c r="O56" s="26"/>
    </row>
    <row r="57" spans="13:15" x14ac:dyDescent="0.25">
      <c r="M57" s="26"/>
      <c r="O57" s="26"/>
    </row>
    <row r="58" spans="13:15" x14ac:dyDescent="0.25">
      <c r="M58" s="26"/>
      <c r="O58" s="26"/>
    </row>
    <row r="59" spans="13:15" x14ac:dyDescent="0.25">
      <c r="M59" s="26"/>
      <c r="O59" s="26"/>
    </row>
    <row r="60" spans="13:15" x14ac:dyDescent="0.25">
      <c r="M60" s="26"/>
      <c r="O60" s="26"/>
    </row>
    <row r="61" spans="13:15" x14ac:dyDescent="0.25">
      <c r="M61" s="26"/>
      <c r="O61" s="26"/>
    </row>
    <row r="62" spans="13:15" x14ac:dyDescent="0.25">
      <c r="M62" s="26"/>
      <c r="O62" s="26"/>
    </row>
    <row r="63" spans="13:15" x14ac:dyDescent="0.25">
      <c r="M63" s="26"/>
      <c r="O63" s="26"/>
    </row>
    <row r="64" spans="13:15" x14ac:dyDescent="0.25">
      <c r="M64" s="26"/>
      <c r="O64" s="26"/>
    </row>
    <row r="65" spans="13:15" x14ac:dyDescent="0.25">
      <c r="M65" s="26"/>
      <c r="O65" s="26"/>
    </row>
  </sheetData>
  <sortState xmlns:xlrd2="http://schemas.microsoft.com/office/spreadsheetml/2017/richdata2" ref="A2:Z65">
    <sortCondition ref="F1:F65"/>
  </sortState>
  <conditionalFormatting sqref="I20">
    <cfRule type="cellIs" dxfId="1" priority="1" operator="equal">
      <formula>"?"</formula>
    </cfRule>
    <cfRule type="expression" dxfId="0" priority="2">
      <formula>ISERR(I20)=TRUE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8C82-F590-48D1-8965-A3EE46E31255}">
  <dimension ref="A3:E44"/>
  <sheetViews>
    <sheetView workbookViewId="0">
      <selection activeCell="B13" sqref="B13"/>
    </sheetView>
  </sheetViews>
  <sheetFormatPr defaultRowHeight="13.2" x14ac:dyDescent="0.25"/>
  <cols>
    <col min="1" max="1" width="20.6640625" style="38" bestFit="1" customWidth="1"/>
    <col min="2" max="2" width="22.6640625" style="38" bestFit="1" customWidth="1"/>
    <col min="3" max="3" width="15.21875" style="38" bestFit="1" customWidth="1"/>
    <col min="4" max="4" width="31.77734375" style="38" bestFit="1" customWidth="1"/>
    <col min="5" max="5" width="27.44140625" style="38" bestFit="1" customWidth="1"/>
    <col min="6" max="6" width="7.5546875" style="38" bestFit="1" customWidth="1"/>
    <col min="7" max="7" width="8.88671875" style="38" bestFit="1" customWidth="1"/>
    <col min="8" max="8" width="9.88671875" style="38" bestFit="1" customWidth="1"/>
    <col min="9" max="9" width="8.21875" style="38" bestFit="1" customWidth="1"/>
    <col min="10" max="10" width="15.88671875" style="38" bestFit="1" customWidth="1"/>
    <col min="11" max="11" width="9.21875" style="38" bestFit="1" customWidth="1"/>
    <col min="12" max="13" width="6.88671875" style="38" bestFit="1" customWidth="1"/>
    <col min="14" max="14" width="11.109375" style="38" bestFit="1" customWidth="1"/>
    <col min="15" max="15" width="8" style="38" bestFit="1" customWidth="1"/>
    <col min="16" max="16" width="6" style="38" bestFit="1" customWidth="1"/>
    <col min="17" max="17" width="7.77734375" style="38" bestFit="1" customWidth="1"/>
    <col min="18" max="18" width="5.33203125" style="38" bestFit="1" customWidth="1"/>
    <col min="19" max="19" width="8.5546875" style="38" bestFit="1" customWidth="1"/>
    <col min="20" max="20" width="7.44140625" style="38" bestFit="1" customWidth="1"/>
    <col min="21" max="21" width="12.21875" style="38" bestFit="1" customWidth="1"/>
    <col min="22" max="22" width="5.77734375" style="38" bestFit="1" customWidth="1"/>
    <col min="23" max="23" width="6.21875" style="38" bestFit="1" customWidth="1"/>
    <col min="24" max="24" width="13.21875" style="38" bestFit="1" customWidth="1"/>
    <col min="25" max="25" width="8.21875" style="38" bestFit="1" customWidth="1"/>
    <col min="26" max="26" width="8.109375" style="38" bestFit="1" customWidth="1"/>
    <col min="27" max="27" width="9.109375" style="38" bestFit="1" customWidth="1"/>
    <col min="28" max="29" width="8.44140625" style="38" bestFit="1" customWidth="1"/>
    <col min="30" max="30" width="6.88671875" style="38" bestFit="1" customWidth="1"/>
    <col min="31" max="31" width="7.44140625" style="38" bestFit="1" customWidth="1"/>
    <col min="32" max="32" width="7.33203125" style="38" bestFit="1" customWidth="1"/>
    <col min="33" max="33" width="6" style="38" bestFit="1" customWidth="1"/>
    <col min="34" max="34" width="62.21875" style="38" bestFit="1" customWidth="1"/>
    <col min="35" max="35" width="13.6640625" style="38" bestFit="1" customWidth="1"/>
    <col min="36" max="36" width="8.88671875" style="38"/>
    <col min="37" max="37" width="11.88671875" style="38" bestFit="1" customWidth="1"/>
    <col min="38" max="39" width="8.88671875" style="38"/>
    <col min="40" max="41" width="9.88671875" style="38" bestFit="1" customWidth="1"/>
    <col min="42" max="42" width="15.88671875" style="38" bestFit="1" customWidth="1"/>
    <col min="43" max="43" width="9.21875" style="38" bestFit="1" customWidth="1"/>
    <col min="44" max="45" width="8.88671875" style="38"/>
    <col min="46" max="46" width="11.109375" style="38" bestFit="1" customWidth="1"/>
    <col min="47" max="52" width="8.88671875" style="38"/>
    <col min="53" max="53" width="12.21875" style="38" bestFit="1" customWidth="1"/>
    <col min="54" max="55" width="8.88671875" style="38"/>
    <col min="56" max="56" width="13.21875" style="38" bestFit="1" customWidth="1"/>
    <col min="57" max="58" width="8.88671875" style="38"/>
    <col min="59" max="60" width="9.88671875" style="38" bestFit="1" customWidth="1"/>
    <col min="61" max="61" width="8.88671875" style="38"/>
    <col min="62" max="62" width="9.88671875" style="38" bestFit="1" customWidth="1"/>
    <col min="63" max="65" width="8.88671875" style="38"/>
    <col min="66" max="66" width="41.109375" style="38" bestFit="1" customWidth="1"/>
    <col min="67" max="67" width="67.21875" style="38" bestFit="1" customWidth="1"/>
    <col min="68" max="16384" width="8.88671875" style="38"/>
  </cols>
  <sheetData>
    <row r="3" spans="1:5" x14ac:dyDescent="0.25">
      <c r="A3" s="40" t="s">
        <v>104</v>
      </c>
      <c r="B3" s="38" t="s">
        <v>106</v>
      </c>
      <c r="C3" s="38" t="s">
        <v>110</v>
      </c>
      <c r="D3" s="38" t="s">
        <v>117</v>
      </c>
      <c r="E3" s="38" t="s">
        <v>115</v>
      </c>
    </row>
    <row r="4" spans="1:5" x14ac:dyDescent="0.25">
      <c r="A4" s="38" t="s">
        <v>108</v>
      </c>
      <c r="B4" s="41">
        <v>8149287.5</v>
      </c>
      <c r="C4" s="41">
        <v>4768.375</v>
      </c>
      <c r="D4" s="38">
        <v>209.68437499999999</v>
      </c>
      <c r="E4" s="42">
        <v>200.24481249999999</v>
      </c>
    </row>
    <row r="5" spans="1:5" x14ac:dyDescent="0.25">
      <c r="A5" s="43" t="s">
        <v>65</v>
      </c>
      <c r="B5" s="41">
        <v>7748533.333333333</v>
      </c>
      <c r="C5" s="41">
        <v>3028.6666666666665</v>
      </c>
      <c r="D5" s="38">
        <v>161.01666666666665</v>
      </c>
      <c r="E5" s="42">
        <v>219.70333333333335</v>
      </c>
    </row>
    <row r="6" spans="1:5" x14ac:dyDescent="0.25">
      <c r="A6" s="44" t="s">
        <v>51</v>
      </c>
      <c r="B6" s="41">
        <v>8282700</v>
      </c>
      <c r="C6" s="41">
        <v>1909</v>
      </c>
      <c r="D6" s="38">
        <v>142.6</v>
      </c>
      <c r="E6" s="42">
        <v>230.6</v>
      </c>
    </row>
    <row r="7" spans="1:5" x14ac:dyDescent="0.25">
      <c r="A7" s="44" t="s">
        <v>47</v>
      </c>
      <c r="B7" s="41">
        <v>6257300</v>
      </c>
      <c r="C7" s="41">
        <v>3303</v>
      </c>
      <c r="D7" s="38">
        <v>84.25</v>
      </c>
      <c r="E7" s="42">
        <v>90.09</v>
      </c>
    </row>
    <row r="8" spans="1:5" x14ac:dyDescent="0.25">
      <c r="A8" s="44" t="s">
        <v>42</v>
      </c>
      <c r="B8" s="41">
        <v>8705600</v>
      </c>
      <c r="C8" s="41">
        <v>3874</v>
      </c>
      <c r="D8" s="38">
        <v>256.2</v>
      </c>
      <c r="E8" s="42">
        <v>338.42</v>
      </c>
    </row>
    <row r="9" spans="1:5" x14ac:dyDescent="0.25">
      <c r="A9" s="43" t="s">
        <v>64</v>
      </c>
      <c r="B9" s="41">
        <v>3562200</v>
      </c>
      <c r="C9" s="41">
        <v>3255.4444444444443</v>
      </c>
      <c r="D9" s="38">
        <v>57.13333333333334</v>
      </c>
      <c r="E9" s="42">
        <v>89.188555555555538</v>
      </c>
    </row>
    <row r="10" spans="1:5" x14ac:dyDescent="0.25">
      <c r="A10" s="44" t="s">
        <v>45</v>
      </c>
      <c r="B10" s="41">
        <v>4701400</v>
      </c>
      <c r="C10" s="41">
        <v>2838</v>
      </c>
      <c r="D10" s="38">
        <v>54</v>
      </c>
      <c r="E10" s="42">
        <v>71.63</v>
      </c>
    </row>
    <row r="11" spans="1:5" x14ac:dyDescent="0.25">
      <c r="A11" s="44" t="s">
        <v>53</v>
      </c>
      <c r="B11" s="41">
        <v>1950100</v>
      </c>
      <c r="C11" s="41">
        <v>2460</v>
      </c>
      <c r="D11" s="38">
        <v>37.700000000000003</v>
      </c>
      <c r="E11" s="42">
        <v>29.93</v>
      </c>
    </row>
    <row r="12" spans="1:5" x14ac:dyDescent="0.25">
      <c r="A12" s="44" t="s">
        <v>52</v>
      </c>
      <c r="B12" s="41">
        <v>3889700.0000000005</v>
      </c>
      <c r="C12" s="41">
        <v>3798</v>
      </c>
      <c r="D12" s="38">
        <v>94.5</v>
      </c>
      <c r="E12" s="42">
        <v>138.43</v>
      </c>
    </row>
    <row r="13" spans="1:5" x14ac:dyDescent="0.25">
      <c r="A13" s="44" t="s">
        <v>49</v>
      </c>
      <c r="B13" s="41">
        <v>3992799.9999999995</v>
      </c>
      <c r="C13" s="41">
        <v>1786</v>
      </c>
      <c r="D13" s="38">
        <v>78.900000000000006</v>
      </c>
      <c r="E13" s="42">
        <v>168.41</v>
      </c>
    </row>
    <row r="14" spans="1:5" x14ac:dyDescent="0.25">
      <c r="A14" s="44" t="s">
        <v>34</v>
      </c>
      <c r="B14" s="41">
        <v>4621800</v>
      </c>
      <c r="C14" s="41">
        <v>2525</v>
      </c>
      <c r="D14" s="38">
        <v>76.8</v>
      </c>
      <c r="E14" s="42">
        <v>135.26</v>
      </c>
    </row>
    <row r="15" spans="1:5" x14ac:dyDescent="0.25">
      <c r="A15" s="44" t="s">
        <v>50</v>
      </c>
      <c r="B15" s="41">
        <v>3693100</v>
      </c>
      <c r="C15" s="41">
        <v>1632</v>
      </c>
      <c r="D15" s="38">
        <v>25.9</v>
      </c>
      <c r="E15" s="42">
        <v>43.04</v>
      </c>
    </row>
    <row r="16" spans="1:5" x14ac:dyDescent="0.25">
      <c r="A16" s="44" t="s">
        <v>48</v>
      </c>
      <c r="B16" s="41">
        <v>4431100</v>
      </c>
      <c r="C16" s="41">
        <v>2965</v>
      </c>
      <c r="D16" s="38">
        <v>20.3</v>
      </c>
      <c r="E16" s="42">
        <v>63.4</v>
      </c>
    </row>
    <row r="17" spans="1:5" x14ac:dyDescent="0.25">
      <c r="A17" s="44" t="s">
        <v>54</v>
      </c>
      <c r="B17" s="41">
        <v>2668300</v>
      </c>
      <c r="C17" s="41">
        <v>9596</v>
      </c>
      <c r="D17" s="38">
        <v>27.7</v>
      </c>
      <c r="E17" s="42">
        <v>36.046999999999997</v>
      </c>
    </row>
    <row r="18" spans="1:5" x14ac:dyDescent="0.25">
      <c r="A18" s="44" t="s">
        <v>46</v>
      </c>
      <c r="B18" s="41">
        <v>2111500</v>
      </c>
      <c r="C18" s="41">
        <v>1699</v>
      </c>
      <c r="D18" s="38">
        <v>98.4</v>
      </c>
      <c r="E18" s="42">
        <v>116.55</v>
      </c>
    </row>
    <row r="19" spans="1:5" x14ac:dyDescent="0.25">
      <c r="A19" s="43" t="s">
        <v>66</v>
      </c>
      <c r="B19" s="41">
        <v>18770800</v>
      </c>
      <c r="C19" s="41">
        <v>9477.25</v>
      </c>
      <c r="D19" s="38">
        <v>589.42499999999995</v>
      </c>
      <c r="E19" s="42">
        <v>435.52750000000003</v>
      </c>
    </row>
    <row r="20" spans="1:5" x14ac:dyDescent="0.25">
      <c r="A20" s="44" t="s">
        <v>33</v>
      </c>
      <c r="B20" s="41">
        <v>21883000</v>
      </c>
      <c r="C20" s="41">
        <v>16411</v>
      </c>
      <c r="D20" s="38">
        <v>721.6</v>
      </c>
      <c r="E20" s="42">
        <v>623.36</v>
      </c>
    </row>
    <row r="21" spans="1:5" x14ac:dyDescent="0.25">
      <c r="A21" s="44" t="s">
        <v>43</v>
      </c>
      <c r="B21" s="41">
        <v>14657500</v>
      </c>
      <c r="C21" s="41">
        <v>3240</v>
      </c>
      <c r="D21" s="38">
        <v>439.7</v>
      </c>
      <c r="E21" s="42">
        <v>448.32</v>
      </c>
    </row>
    <row r="22" spans="1:5" x14ac:dyDescent="0.25">
      <c r="A22" s="44" t="s">
        <v>41</v>
      </c>
      <c r="B22" s="41">
        <v>24152700</v>
      </c>
      <c r="C22" s="41">
        <v>6341</v>
      </c>
      <c r="D22" s="38">
        <v>940.2</v>
      </c>
      <c r="E22" s="42">
        <v>438.85</v>
      </c>
    </row>
    <row r="23" spans="1:5" x14ac:dyDescent="0.25">
      <c r="A23" s="44" t="s">
        <v>44</v>
      </c>
      <c r="B23" s="41">
        <v>14390000</v>
      </c>
      <c r="C23" s="41">
        <v>11917</v>
      </c>
      <c r="D23" s="38">
        <v>256.2</v>
      </c>
      <c r="E23" s="42">
        <v>231.58</v>
      </c>
    </row>
    <row r="24" spans="1:5" x14ac:dyDescent="0.25">
      <c r="A24" s="38" t="s">
        <v>107</v>
      </c>
      <c r="B24" s="41">
        <v>7556020.056706937</v>
      </c>
      <c r="C24" s="41">
        <v>960.00239301474062</v>
      </c>
      <c r="D24" s="38">
        <v>79.125</v>
      </c>
      <c r="E24" s="42">
        <v>71.48937500000001</v>
      </c>
    </row>
    <row r="25" spans="1:5" x14ac:dyDescent="0.25">
      <c r="A25" s="43" t="s">
        <v>65</v>
      </c>
      <c r="B25" s="41">
        <v>7067971</v>
      </c>
      <c r="C25" s="41">
        <v>687.86666666666667</v>
      </c>
      <c r="D25" s="38">
        <v>68.266666666666666</v>
      </c>
      <c r="E25" s="42">
        <v>87.066666666666677</v>
      </c>
    </row>
    <row r="26" spans="1:5" x14ac:dyDescent="0.25">
      <c r="A26" s="44" t="s">
        <v>26</v>
      </c>
      <c r="B26" s="41">
        <v>5609654</v>
      </c>
      <c r="C26" s="41">
        <v>603</v>
      </c>
      <c r="D26" s="38">
        <v>27.9</v>
      </c>
      <c r="E26" s="42">
        <v>36.6</v>
      </c>
    </row>
    <row r="27" spans="1:5" x14ac:dyDescent="0.25">
      <c r="A27" s="44" t="s">
        <v>24</v>
      </c>
      <c r="B27" s="41">
        <v>9752000</v>
      </c>
      <c r="C27" s="41">
        <v>798.6</v>
      </c>
      <c r="D27" s="38">
        <v>22.5</v>
      </c>
      <c r="E27" s="42">
        <v>53.8</v>
      </c>
    </row>
    <row r="28" spans="1:5" x14ac:dyDescent="0.25">
      <c r="A28" s="44" t="s">
        <v>25</v>
      </c>
      <c r="B28" s="41">
        <v>5842259</v>
      </c>
      <c r="C28" s="41">
        <v>662</v>
      </c>
      <c r="D28" s="38">
        <v>154.4</v>
      </c>
      <c r="E28" s="42">
        <v>170.8</v>
      </c>
    </row>
    <row r="29" spans="1:5" x14ac:dyDescent="0.25">
      <c r="A29" s="43" t="s">
        <v>64</v>
      </c>
      <c r="B29" s="41">
        <v>3381965.777777778</v>
      </c>
      <c r="C29" s="41">
        <v>410.65154035953884</v>
      </c>
      <c r="D29" s="38">
        <v>36.63333333333334</v>
      </c>
      <c r="E29" s="42">
        <v>45.858888888888892</v>
      </c>
    </row>
    <row r="30" spans="1:5" x14ac:dyDescent="0.25">
      <c r="A30" s="44" t="s">
        <v>30</v>
      </c>
      <c r="B30" s="41">
        <v>2852372</v>
      </c>
      <c r="C30" s="41">
        <v>251.01</v>
      </c>
      <c r="D30" s="38">
        <v>38.799999999999997</v>
      </c>
      <c r="E30" s="42">
        <v>48.3</v>
      </c>
    </row>
    <row r="31" spans="1:5" x14ac:dyDescent="0.25">
      <c r="A31" s="44" t="s">
        <v>29</v>
      </c>
      <c r="B31" s="41">
        <v>3611087</v>
      </c>
      <c r="C31" s="41">
        <v>260.63</v>
      </c>
      <c r="D31" s="38">
        <v>56.5</v>
      </c>
      <c r="E31" s="42">
        <v>65.64</v>
      </c>
    </row>
    <row r="32" spans="1:5" x14ac:dyDescent="0.25">
      <c r="A32" s="44" t="s">
        <v>27</v>
      </c>
      <c r="B32" s="41">
        <v>4515531</v>
      </c>
      <c r="C32" s="41">
        <v>692.524</v>
      </c>
      <c r="D32" s="38">
        <v>30.1</v>
      </c>
      <c r="E32" s="42">
        <v>60.02</v>
      </c>
    </row>
    <row r="33" spans="1:5" x14ac:dyDescent="0.25">
      <c r="A33" s="44" t="s">
        <v>95</v>
      </c>
      <c r="B33" s="41">
        <v>3383258</v>
      </c>
      <c r="C33" s="41">
        <v>172.65299999999999</v>
      </c>
      <c r="D33" s="38">
        <v>39.4</v>
      </c>
      <c r="E33" s="42">
        <v>40.96</v>
      </c>
    </row>
    <row r="34" spans="1:5" x14ac:dyDescent="0.25">
      <c r="A34" s="44" t="s">
        <v>32</v>
      </c>
      <c r="B34" s="41">
        <v>1771384</v>
      </c>
      <c r="C34" s="41">
        <v>287</v>
      </c>
      <c r="D34" s="38">
        <v>36.799999999999997</v>
      </c>
      <c r="E34" s="42">
        <v>54.16</v>
      </c>
    </row>
    <row r="35" spans="1:5" x14ac:dyDescent="0.25">
      <c r="A35" s="44" t="s">
        <v>96</v>
      </c>
      <c r="B35" s="41">
        <v>4161237</v>
      </c>
      <c r="C35" s="41">
        <v>433.98</v>
      </c>
      <c r="D35" s="38">
        <v>38.299999999999997</v>
      </c>
      <c r="E35" s="42">
        <v>44.15</v>
      </c>
    </row>
    <row r="36" spans="1:5" x14ac:dyDescent="0.25">
      <c r="A36" s="44" t="s">
        <v>31</v>
      </c>
      <c r="B36" s="41">
        <v>2239191</v>
      </c>
      <c r="C36" s="41">
        <v>372.39</v>
      </c>
      <c r="D36" s="38">
        <v>22.6</v>
      </c>
      <c r="E36" s="42">
        <v>26.6</v>
      </c>
    </row>
    <row r="37" spans="1:5" x14ac:dyDescent="0.25">
      <c r="A37" s="44" t="s">
        <v>0</v>
      </c>
      <c r="B37" s="41">
        <v>3887261</v>
      </c>
      <c r="C37" s="41">
        <v>841.23999999996545</v>
      </c>
      <c r="D37" s="38">
        <v>35.799999999999997</v>
      </c>
      <c r="E37" s="42">
        <v>46.7</v>
      </c>
    </row>
    <row r="38" spans="1:5" x14ac:dyDescent="0.25">
      <c r="A38" s="44" t="s">
        <v>28</v>
      </c>
      <c r="B38" s="41">
        <v>4016371</v>
      </c>
      <c r="C38" s="41">
        <v>384.43686323588486</v>
      </c>
      <c r="D38" s="38">
        <v>31.4</v>
      </c>
      <c r="E38" s="42">
        <v>26.2</v>
      </c>
    </row>
    <row r="39" spans="1:5" x14ac:dyDescent="0.25">
      <c r="A39" s="43" t="s">
        <v>66</v>
      </c>
      <c r="B39" s="41">
        <v>17313678.976827748</v>
      </c>
      <c r="C39" s="41">
        <v>2400.1436062499997</v>
      </c>
      <c r="D39" s="38">
        <v>182.875</v>
      </c>
      <c r="E39" s="42">
        <v>117.47500000000002</v>
      </c>
    </row>
    <row r="40" spans="1:5" x14ac:dyDescent="0.25">
      <c r="A40" s="44" t="s">
        <v>22</v>
      </c>
      <c r="B40" s="41">
        <v>15769937.907311</v>
      </c>
      <c r="C40" s="41">
        <v>3883</v>
      </c>
      <c r="D40" s="38">
        <v>57</v>
      </c>
      <c r="E40" s="42">
        <v>73.400000000000006</v>
      </c>
    </row>
    <row r="41" spans="1:5" x14ac:dyDescent="0.25">
      <c r="A41" s="44" t="s">
        <v>20</v>
      </c>
      <c r="B41" s="41">
        <v>20392950</v>
      </c>
      <c r="C41" s="41">
        <v>2608.5744249999998</v>
      </c>
      <c r="D41" s="38">
        <v>225.1</v>
      </c>
      <c r="E41" s="42">
        <v>206.8</v>
      </c>
    </row>
    <row r="42" spans="1:5" x14ac:dyDescent="0.25">
      <c r="A42" s="44" t="s">
        <v>23</v>
      </c>
      <c r="B42" s="41">
        <v>12156624</v>
      </c>
      <c r="C42" s="41">
        <v>900</v>
      </c>
      <c r="D42" s="38">
        <v>161.30000000000001</v>
      </c>
      <c r="E42" s="42">
        <v>63.6</v>
      </c>
    </row>
    <row r="43" spans="1:5" x14ac:dyDescent="0.25">
      <c r="A43" s="44" t="s">
        <v>21</v>
      </c>
      <c r="B43" s="41">
        <v>20935204</v>
      </c>
      <c r="C43" s="41">
        <v>2209</v>
      </c>
      <c r="D43" s="38">
        <v>288.10000000000002</v>
      </c>
      <c r="E43" s="42">
        <v>126.1</v>
      </c>
    </row>
    <row r="44" spans="1:5" x14ac:dyDescent="0.25">
      <c r="A44" s="38" t="s">
        <v>105</v>
      </c>
      <c r="B44" s="41">
        <v>7852653.7783534685</v>
      </c>
      <c r="C44" s="41">
        <v>2864.1886965073704</v>
      </c>
      <c r="D44" s="38">
        <v>144.40468750000005</v>
      </c>
      <c r="E44" s="42">
        <v>135.86709375000001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E16F-FD29-4A29-98C0-76F1D1DCF8E8}">
  <dimension ref="A3:I45"/>
  <sheetViews>
    <sheetView workbookViewId="0">
      <selection activeCell="M26" sqref="M26"/>
    </sheetView>
  </sheetViews>
  <sheetFormatPr defaultRowHeight="13.2" x14ac:dyDescent="0.25"/>
  <cols>
    <col min="1" max="1" width="20.6640625" bestFit="1" customWidth="1"/>
    <col min="2" max="2" width="2.44140625" customWidth="1"/>
    <col min="3" max="5" width="2" bestFit="1" customWidth="1"/>
    <col min="6" max="6" width="3" bestFit="1" customWidth="1"/>
    <col min="7" max="8" width="2" bestFit="1" customWidth="1"/>
    <col min="9" max="9" width="11.109375" bestFit="1" customWidth="1"/>
  </cols>
  <sheetData>
    <row r="3" spans="1:9" x14ac:dyDescent="0.25">
      <c r="A3" s="54" t="s">
        <v>124</v>
      </c>
      <c r="B3" s="54" t="s">
        <v>125</v>
      </c>
    </row>
    <row r="4" spans="1:9" x14ac:dyDescent="0.25">
      <c r="A4" s="54" t="s">
        <v>104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 t="s">
        <v>105</v>
      </c>
    </row>
    <row r="5" spans="1:9" x14ac:dyDescent="0.25">
      <c r="A5" t="s">
        <v>108</v>
      </c>
      <c r="C5">
        <v>6</v>
      </c>
      <c r="D5">
        <v>1</v>
      </c>
      <c r="E5">
        <v>3</v>
      </c>
      <c r="F5">
        <v>5</v>
      </c>
      <c r="H5">
        <v>1</v>
      </c>
      <c r="I5">
        <v>16</v>
      </c>
    </row>
    <row r="6" spans="1:9" x14ac:dyDescent="0.25">
      <c r="A6" s="56" t="s">
        <v>65</v>
      </c>
      <c r="E6">
        <v>1</v>
      </c>
      <c r="F6">
        <v>1</v>
      </c>
      <c r="H6">
        <v>1</v>
      </c>
      <c r="I6">
        <v>3</v>
      </c>
    </row>
    <row r="7" spans="1:9" x14ac:dyDescent="0.25">
      <c r="A7" s="57" t="s">
        <v>51</v>
      </c>
      <c r="H7">
        <v>1</v>
      </c>
      <c r="I7">
        <v>1</v>
      </c>
    </row>
    <row r="8" spans="1:9" x14ac:dyDescent="0.25">
      <c r="A8" s="57" t="s">
        <v>47</v>
      </c>
      <c r="F8">
        <v>1</v>
      </c>
      <c r="I8">
        <v>1</v>
      </c>
    </row>
    <row r="9" spans="1:9" x14ac:dyDescent="0.25">
      <c r="A9" s="57" t="s">
        <v>42</v>
      </c>
      <c r="E9">
        <v>1</v>
      </c>
      <c r="I9">
        <v>1</v>
      </c>
    </row>
    <row r="10" spans="1:9" x14ac:dyDescent="0.25">
      <c r="A10" s="56" t="s">
        <v>64</v>
      </c>
      <c r="C10">
        <v>4</v>
      </c>
      <c r="D10">
        <v>1</v>
      </c>
      <c r="F10">
        <v>4</v>
      </c>
      <c r="I10">
        <v>9</v>
      </c>
    </row>
    <row r="11" spans="1:9" x14ac:dyDescent="0.25">
      <c r="A11" s="57" t="s">
        <v>45</v>
      </c>
      <c r="F11">
        <v>1</v>
      </c>
      <c r="I11">
        <v>1</v>
      </c>
    </row>
    <row r="12" spans="1:9" x14ac:dyDescent="0.25">
      <c r="A12" s="57" t="s">
        <v>53</v>
      </c>
      <c r="C12">
        <v>1</v>
      </c>
      <c r="I12">
        <v>1</v>
      </c>
    </row>
    <row r="13" spans="1:9" x14ac:dyDescent="0.25">
      <c r="A13" s="57" t="s">
        <v>52</v>
      </c>
      <c r="C13">
        <v>1</v>
      </c>
      <c r="I13">
        <v>1</v>
      </c>
    </row>
    <row r="14" spans="1:9" x14ac:dyDescent="0.25">
      <c r="A14" s="57" t="s">
        <v>49</v>
      </c>
      <c r="C14">
        <v>1</v>
      </c>
      <c r="I14">
        <v>1</v>
      </c>
    </row>
    <row r="15" spans="1:9" x14ac:dyDescent="0.25">
      <c r="A15" s="57" t="s">
        <v>34</v>
      </c>
      <c r="C15">
        <v>1</v>
      </c>
      <c r="I15">
        <v>1</v>
      </c>
    </row>
    <row r="16" spans="1:9" x14ac:dyDescent="0.25">
      <c r="A16" s="57" t="s">
        <v>50</v>
      </c>
      <c r="F16">
        <v>1</v>
      </c>
      <c r="I16">
        <v>1</v>
      </c>
    </row>
    <row r="17" spans="1:9" x14ac:dyDescent="0.25">
      <c r="A17" s="57" t="s">
        <v>48</v>
      </c>
      <c r="F17">
        <v>1</v>
      </c>
      <c r="I17">
        <v>1</v>
      </c>
    </row>
    <row r="18" spans="1:9" x14ac:dyDescent="0.25">
      <c r="A18" s="57" t="s">
        <v>54</v>
      </c>
      <c r="F18">
        <v>1</v>
      </c>
      <c r="I18">
        <v>1</v>
      </c>
    </row>
    <row r="19" spans="1:9" x14ac:dyDescent="0.25">
      <c r="A19" s="57" t="s">
        <v>46</v>
      </c>
      <c r="D19">
        <v>1</v>
      </c>
      <c r="I19">
        <v>1</v>
      </c>
    </row>
    <row r="20" spans="1:9" x14ac:dyDescent="0.25">
      <c r="A20" s="56" t="s">
        <v>66</v>
      </c>
      <c r="C20">
        <v>2</v>
      </c>
      <c r="E20">
        <v>2</v>
      </c>
      <c r="I20">
        <v>4</v>
      </c>
    </row>
    <row r="21" spans="1:9" x14ac:dyDescent="0.25">
      <c r="A21" s="57" t="s">
        <v>33</v>
      </c>
      <c r="C21">
        <v>1</v>
      </c>
      <c r="I21">
        <v>1</v>
      </c>
    </row>
    <row r="22" spans="1:9" x14ac:dyDescent="0.25">
      <c r="A22" s="57" t="s">
        <v>43</v>
      </c>
      <c r="E22">
        <v>1</v>
      </c>
      <c r="I22">
        <v>1</v>
      </c>
    </row>
    <row r="23" spans="1:9" x14ac:dyDescent="0.25">
      <c r="A23" s="57" t="s">
        <v>41</v>
      </c>
      <c r="E23">
        <v>1</v>
      </c>
      <c r="I23">
        <v>1</v>
      </c>
    </row>
    <row r="24" spans="1:9" x14ac:dyDescent="0.25">
      <c r="A24" s="57" t="s">
        <v>44</v>
      </c>
      <c r="C24">
        <v>1</v>
      </c>
      <c r="I24">
        <v>1</v>
      </c>
    </row>
    <row r="25" spans="1:9" x14ac:dyDescent="0.25">
      <c r="A25" t="s">
        <v>107</v>
      </c>
      <c r="B25">
        <v>3</v>
      </c>
      <c r="F25">
        <v>6</v>
      </c>
      <c r="G25">
        <v>2</v>
      </c>
      <c r="H25">
        <v>5</v>
      </c>
      <c r="I25">
        <v>16</v>
      </c>
    </row>
    <row r="26" spans="1:9" x14ac:dyDescent="0.25">
      <c r="A26" s="56" t="s">
        <v>65</v>
      </c>
      <c r="B26">
        <v>1</v>
      </c>
      <c r="F26">
        <v>2</v>
      </c>
      <c r="I26">
        <v>3</v>
      </c>
    </row>
    <row r="27" spans="1:9" x14ac:dyDescent="0.25">
      <c r="A27" s="57" t="s">
        <v>26</v>
      </c>
      <c r="F27">
        <v>1</v>
      </c>
      <c r="I27">
        <v>1</v>
      </c>
    </row>
    <row r="28" spans="1:9" x14ac:dyDescent="0.25">
      <c r="A28" s="57" t="s">
        <v>24</v>
      </c>
      <c r="F28">
        <v>1</v>
      </c>
      <c r="I28">
        <v>1</v>
      </c>
    </row>
    <row r="29" spans="1:9" x14ac:dyDescent="0.25">
      <c r="A29" s="57" t="s">
        <v>25</v>
      </c>
      <c r="B29">
        <v>1</v>
      </c>
      <c r="I29">
        <v>1</v>
      </c>
    </row>
    <row r="30" spans="1:9" x14ac:dyDescent="0.25">
      <c r="A30" s="56" t="s">
        <v>64</v>
      </c>
      <c r="B30">
        <v>2</v>
      </c>
      <c r="F30">
        <v>3</v>
      </c>
      <c r="G30">
        <v>2</v>
      </c>
      <c r="H30">
        <v>2</v>
      </c>
      <c r="I30">
        <v>9</v>
      </c>
    </row>
    <row r="31" spans="1:9" x14ac:dyDescent="0.25">
      <c r="A31" s="57" t="s">
        <v>30</v>
      </c>
      <c r="G31">
        <v>1</v>
      </c>
      <c r="I31">
        <v>1</v>
      </c>
    </row>
    <row r="32" spans="1:9" x14ac:dyDescent="0.25">
      <c r="A32" s="57" t="s">
        <v>29</v>
      </c>
      <c r="B32">
        <v>1</v>
      </c>
      <c r="I32">
        <v>1</v>
      </c>
    </row>
    <row r="33" spans="1:9" x14ac:dyDescent="0.25">
      <c r="A33" s="57" t="s">
        <v>27</v>
      </c>
      <c r="F33">
        <v>1</v>
      </c>
      <c r="I33">
        <v>1</v>
      </c>
    </row>
    <row r="34" spans="1:9" x14ac:dyDescent="0.25">
      <c r="A34" s="57" t="s">
        <v>95</v>
      </c>
      <c r="B34">
        <v>1</v>
      </c>
      <c r="I34">
        <v>1</v>
      </c>
    </row>
    <row r="35" spans="1:9" x14ac:dyDescent="0.25">
      <c r="A35" s="57" t="s">
        <v>32</v>
      </c>
      <c r="G35">
        <v>1</v>
      </c>
      <c r="I35">
        <v>1</v>
      </c>
    </row>
    <row r="36" spans="1:9" x14ac:dyDescent="0.25">
      <c r="A36" s="57" t="s">
        <v>96</v>
      </c>
      <c r="H36">
        <v>1</v>
      </c>
      <c r="I36">
        <v>1</v>
      </c>
    </row>
    <row r="37" spans="1:9" x14ac:dyDescent="0.25">
      <c r="A37" s="57" t="s">
        <v>31</v>
      </c>
      <c r="F37">
        <v>1</v>
      </c>
      <c r="I37">
        <v>1</v>
      </c>
    </row>
    <row r="38" spans="1:9" x14ac:dyDescent="0.25">
      <c r="A38" s="57" t="s">
        <v>0</v>
      </c>
      <c r="F38">
        <v>1</v>
      </c>
      <c r="I38">
        <v>1</v>
      </c>
    </row>
    <row r="39" spans="1:9" x14ac:dyDescent="0.25">
      <c r="A39" s="57" t="s">
        <v>28</v>
      </c>
      <c r="H39">
        <v>1</v>
      </c>
      <c r="I39">
        <v>1</v>
      </c>
    </row>
    <row r="40" spans="1:9" x14ac:dyDescent="0.25">
      <c r="A40" s="56" t="s">
        <v>66</v>
      </c>
      <c r="F40">
        <v>1</v>
      </c>
      <c r="H40">
        <v>3</v>
      </c>
      <c r="I40">
        <v>4</v>
      </c>
    </row>
    <row r="41" spans="1:9" x14ac:dyDescent="0.25">
      <c r="A41" s="57" t="s">
        <v>22</v>
      </c>
      <c r="F41">
        <v>1</v>
      </c>
      <c r="I41">
        <v>1</v>
      </c>
    </row>
    <row r="42" spans="1:9" x14ac:dyDescent="0.25">
      <c r="A42" s="57" t="s">
        <v>20</v>
      </c>
      <c r="H42">
        <v>1</v>
      </c>
      <c r="I42">
        <v>1</v>
      </c>
    </row>
    <row r="43" spans="1:9" x14ac:dyDescent="0.25">
      <c r="A43" s="57" t="s">
        <v>23</v>
      </c>
      <c r="H43">
        <v>1</v>
      </c>
      <c r="I43">
        <v>1</v>
      </c>
    </row>
    <row r="44" spans="1:9" x14ac:dyDescent="0.25">
      <c r="A44" s="57" t="s">
        <v>21</v>
      </c>
      <c r="H44">
        <v>1</v>
      </c>
      <c r="I44">
        <v>1</v>
      </c>
    </row>
    <row r="45" spans="1:9" x14ac:dyDescent="0.25">
      <c r="A45" t="s">
        <v>105</v>
      </c>
      <c r="B45">
        <v>3</v>
      </c>
      <c r="C45">
        <v>6</v>
      </c>
      <c r="D45">
        <v>1</v>
      </c>
      <c r="E45">
        <v>3</v>
      </c>
      <c r="F45">
        <v>11</v>
      </c>
      <c r="G45">
        <v>2</v>
      </c>
      <c r="H45">
        <v>6</v>
      </c>
      <c r="I45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0A42-7962-442B-B1D2-65E384AAAB97}">
  <dimension ref="A3:J48"/>
  <sheetViews>
    <sheetView topLeftCell="A2" workbookViewId="0">
      <selection activeCell="P19" sqref="P19"/>
    </sheetView>
  </sheetViews>
  <sheetFormatPr defaultRowHeight="13.2" x14ac:dyDescent="0.25"/>
  <cols>
    <col min="1" max="1" width="22.77734375" bestFit="1" customWidth="1"/>
    <col min="2" max="2" width="2.77734375" customWidth="1"/>
    <col min="3" max="5" width="2" bestFit="1" customWidth="1"/>
    <col min="6" max="6" width="3" bestFit="1" customWidth="1"/>
    <col min="7" max="8" width="2" bestFit="1" customWidth="1"/>
    <col min="9" max="9" width="6.88671875" bestFit="1" customWidth="1"/>
    <col min="10" max="10" width="11.109375" bestFit="1" customWidth="1"/>
  </cols>
  <sheetData>
    <row r="3" spans="1:10" x14ac:dyDescent="0.25">
      <c r="A3" s="54" t="s">
        <v>140</v>
      </c>
      <c r="B3" s="54" t="s">
        <v>125</v>
      </c>
    </row>
    <row r="4" spans="1:10" x14ac:dyDescent="0.25">
      <c r="A4" s="54" t="s">
        <v>104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 t="s">
        <v>139</v>
      </c>
      <c r="J4" t="s">
        <v>105</v>
      </c>
    </row>
    <row r="5" spans="1:10" x14ac:dyDescent="0.25">
      <c r="A5" t="s">
        <v>108</v>
      </c>
      <c r="B5">
        <v>2</v>
      </c>
      <c r="C5">
        <v>8</v>
      </c>
      <c r="D5">
        <v>1</v>
      </c>
      <c r="F5">
        <v>5</v>
      </c>
      <c r="J5">
        <v>16</v>
      </c>
    </row>
    <row r="6" spans="1:10" x14ac:dyDescent="0.25">
      <c r="A6" s="56" t="s">
        <v>65</v>
      </c>
      <c r="C6">
        <v>2</v>
      </c>
      <c r="F6">
        <v>1</v>
      </c>
      <c r="J6">
        <v>3</v>
      </c>
    </row>
    <row r="7" spans="1:10" x14ac:dyDescent="0.25">
      <c r="A7" s="57" t="s">
        <v>51</v>
      </c>
      <c r="C7">
        <v>1</v>
      </c>
      <c r="J7">
        <v>1</v>
      </c>
    </row>
    <row r="8" spans="1:10" x14ac:dyDescent="0.25">
      <c r="A8" s="57" t="s">
        <v>47</v>
      </c>
      <c r="F8">
        <v>1</v>
      </c>
      <c r="J8">
        <v>1</v>
      </c>
    </row>
    <row r="9" spans="1:10" x14ac:dyDescent="0.25">
      <c r="A9" s="57" t="s">
        <v>42</v>
      </c>
      <c r="C9">
        <v>1</v>
      </c>
      <c r="J9">
        <v>1</v>
      </c>
    </row>
    <row r="10" spans="1:10" x14ac:dyDescent="0.25">
      <c r="A10" s="56" t="s">
        <v>64</v>
      </c>
      <c r="C10">
        <v>4</v>
      </c>
      <c r="D10">
        <v>1</v>
      </c>
      <c r="F10">
        <v>4</v>
      </c>
      <c r="J10">
        <v>9</v>
      </c>
    </row>
    <row r="11" spans="1:10" x14ac:dyDescent="0.25">
      <c r="A11" s="57" t="s">
        <v>45</v>
      </c>
      <c r="F11">
        <v>1</v>
      </c>
      <c r="J11">
        <v>1</v>
      </c>
    </row>
    <row r="12" spans="1:10" x14ac:dyDescent="0.25">
      <c r="A12" s="57" t="s">
        <v>53</v>
      </c>
      <c r="C12">
        <v>1</v>
      </c>
      <c r="J12">
        <v>1</v>
      </c>
    </row>
    <row r="13" spans="1:10" x14ac:dyDescent="0.25">
      <c r="A13" s="57" t="s">
        <v>52</v>
      </c>
      <c r="C13">
        <v>1</v>
      </c>
      <c r="J13">
        <v>1</v>
      </c>
    </row>
    <row r="14" spans="1:10" x14ac:dyDescent="0.25">
      <c r="A14" s="57" t="s">
        <v>49</v>
      </c>
      <c r="C14">
        <v>1</v>
      </c>
      <c r="J14">
        <v>1</v>
      </c>
    </row>
    <row r="15" spans="1:10" x14ac:dyDescent="0.25">
      <c r="A15" s="57" t="s">
        <v>34</v>
      </c>
      <c r="C15">
        <v>1</v>
      </c>
      <c r="J15">
        <v>1</v>
      </c>
    </row>
    <row r="16" spans="1:10" x14ac:dyDescent="0.25">
      <c r="A16" s="57" t="s">
        <v>50</v>
      </c>
      <c r="F16">
        <v>1</v>
      </c>
      <c r="J16">
        <v>1</v>
      </c>
    </row>
    <row r="17" spans="1:10" x14ac:dyDescent="0.25">
      <c r="A17" s="57" t="s">
        <v>48</v>
      </c>
      <c r="F17">
        <v>1</v>
      </c>
      <c r="J17">
        <v>1</v>
      </c>
    </row>
    <row r="18" spans="1:10" x14ac:dyDescent="0.25">
      <c r="A18" s="57" t="s">
        <v>54</v>
      </c>
      <c r="F18">
        <v>1</v>
      </c>
      <c r="J18">
        <v>1</v>
      </c>
    </row>
    <row r="19" spans="1:10" x14ac:dyDescent="0.25">
      <c r="A19" s="57" t="s">
        <v>46</v>
      </c>
      <c r="D19">
        <v>1</v>
      </c>
      <c r="J19">
        <v>1</v>
      </c>
    </row>
    <row r="20" spans="1:10" x14ac:dyDescent="0.25">
      <c r="A20" s="56" t="s">
        <v>66</v>
      </c>
      <c r="B20">
        <v>2</v>
      </c>
      <c r="C20">
        <v>2</v>
      </c>
      <c r="J20">
        <v>4</v>
      </c>
    </row>
    <row r="21" spans="1:10" x14ac:dyDescent="0.25">
      <c r="A21" s="57" t="s">
        <v>33</v>
      </c>
      <c r="C21">
        <v>1</v>
      </c>
      <c r="J21">
        <v>1</v>
      </c>
    </row>
    <row r="22" spans="1:10" x14ac:dyDescent="0.25">
      <c r="A22" s="57" t="s">
        <v>43</v>
      </c>
      <c r="B22">
        <v>1</v>
      </c>
      <c r="J22">
        <v>1</v>
      </c>
    </row>
    <row r="23" spans="1:10" x14ac:dyDescent="0.25">
      <c r="A23" s="57" t="s">
        <v>41</v>
      </c>
      <c r="B23">
        <v>1</v>
      </c>
      <c r="J23">
        <v>1</v>
      </c>
    </row>
    <row r="24" spans="1:10" x14ac:dyDescent="0.25">
      <c r="A24" s="57" t="s">
        <v>44</v>
      </c>
      <c r="C24">
        <v>1</v>
      </c>
      <c r="J24">
        <v>1</v>
      </c>
    </row>
    <row r="25" spans="1:10" x14ac:dyDescent="0.25">
      <c r="A25" t="s">
        <v>107</v>
      </c>
      <c r="E25">
        <v>2</v>
      </c>
      <c r="F25">
        <v>9</v>
      </c>
      <c r="G25">
        <v>2</v>
      </c>
      <c r="H25">
        <v>3</v>
      </c>
      <c r="J25">
        <v>16</v>
      </c>
    </row>
    <row r="26" spans="1:10" x14ac:dyDescent="0.25">
      <c r="A26" s="56" t="s">
        <v>65</v>
      </c>
      <c r="F26">
        <v>2</v>
      </c>
      <c r="H26">
        <v>1</v>
      </c>
      <c r="J26">
        <v>3</v>
      </c>
    </row>
    <row r="27" spans="1:10" x14ac:dyDescent="0.25">
      <c r="A27" s="57" t="s">
        <v>26</v>
      </c>
      <c r="F27">
        <v>1</v>
      </c>
      <c r="J27">
        <v>1</v>
      </c>
    </row>
    <row r="28" spans="1:10" x14ac:dyDescent="0.25">
      <c r="A28" s="57" t="s">
        <v>24</v>
      </c>
      <c r="F28">
        <v>1</v>
      </c>
      <c r="J28">
        <v>1</v>
      </c>
    </row>
    <row r="29" spans="1:10" x14ac:dyDescent="0.25">
      <c r="A29" s="57" t="s">
        <v>25</v>
      </c>
      <c r="H29">
        <v>1</v>
      </c>
      <c r="J29">
        <v>1</v>
      </c>
    </row>
    <row r="30" spans="1:10" x14ac:dyDescent="0.25">
      <c r="A30" s="56" t="s">
        <v>64</v>
      </c>
      <c r="F30">
        <v>5</v>
      </c>
      <c r="G30">
        <v>2</v>
      </c>
      <c r="H30">
        <v>2</v>
      </c>
      <c r="J30">
        <v>9</v>
      </c>
    </row>
    <row r="31" spans="1:10" x14ac:dyDescent="0.25">
      <c r="A31" s="57" t="s">
        <v>30</v>
      </c>
      <c r="G31">
        <v>1</v>
      </c>
      <c r="J31">
        <v>1</v>
      </c>
    </row>
    <row r="32" spans="1:10" x14ac:dyDescent="0.25">
      <c r="A32" s="57" t="s">
        <v>29</v>
      </c>
      <c r="H32">
        <v>1</v>
      </c>
      <c r="J32">
        <v>1</v>
      </c>
    </row>
    <row r="33" spans="1:10" x14ac:dyDescent="0.25">
      <c r="A33" s="57" t="s">
        <v>27</v>
      </c>
      <c r="F33">
        <v>1</v>
      </c>
      <c r="J33">
        <v>1</v>
      </c>
    </row>
    <row r="34" spans="1:10" x14ac:dyDescent="0.25">
      <c r="A34" s="57" t="s">
        <v>95</v>
      </c>
      <c r="H34">
        <v>1</v>
      </c>
      <c r="J34">
        <v>1</v>
      </c>
    </row>
    <row r="35" spans="1:10" x14ac:dyDescent="0.25">
      <c r="A35" s="57" t="s">
        <v>32</v>
      </c>
      <c r="G35">
        <v>1</v>
      </c>
      <c r="J35">
        <v>1</v>
      </c>
    </row>
    <row r="36" spans="1:10" x14ac:dyDescent="0.25">
      <c r="A36" s="57" t="s">
        <v>96</v>
      </c>
      <c r="F36">
        <v>1</v>
      </c>
      <c r="J36">
        <v>1</v>
      </c>
    </row>
    <row r="37" spans="1:10" x14ac:dyDescent="0.25">
      <c r="A37" s="57" t="s">
        <v>31</v>
      </c>
      <c r="F37">
        <v>1</v>
      </c>
      <c r="J37">
        <v>1</v>
      </c>
    </row>
    <row r="38" spans="1:10" x14ac:dyDescent="0.25">
      <c r="A38" s="57" t="s">
        <v>0</v>
      </c>
      <c r="F38">
        <v>1</v>
      </c>
      <c r="J38">
        <v>1</v>
      </c>
    </row>
    <row r="39" spans="1:10" x14ac:dyDescent="0.25">
      <c r="A39" s="57" t="s">
        <v>28</v>
      </c>
      <c r="F39">
        <v>1</v>
      </c>
      <c r="J39">
        <v>1</v>
      </c>
    </row>
    <row r="40" spans="1:10" x14ac:dyDescent="0.25">
      <c r="A40" s="56" t="s">
        <v>66</v>
      </c>
      <c r="E40">
        <v>2</v>
      </c>
      <c r="F40">
        <v>2</v>
      </c>
      <c r="J40">
        <v>4</v>
      </c>
    </row>
    <row r="41" spans="1:10" x14ac:dyDescent="0.25">
      <c r="A41" s="57" t="s">
        <v>22</v>
      </c>
      <c r="F41">
        <v>1</v>
      </c>
      <c r="J41">
        <v>1</v>
      </c>
    </row>
    <row r="42" spans="1:10" x14ac:dyDescent="0.25">
      <c r="A42" s="57" t="s">
        <v>20</v>
      </c>
      <c r="F42">
        <v>1</v>
      </c>
      <c r="J42">
        <v>1</v>
      </c>
    </row>
    <row r="43" spans="1:10" x14ac:dyDescent="0.25">
      <c r="A43" s="57" t="s">
        <v>23</v>
      </c>
      <c r="E43">
        <v>1</v>
      </c>
      <c r="J43">
        <v>1</v>
      </c>
    </row>
    <row r="44" spans="1:10" x14ac:dyDescent="0.25">
      <c r="A44" s="57" t="s">
        <v>21</v>
      </c>
      <c r="E44">
        <v>1</v>
      </c>
      <c r="J44">
        <v>1</v>
      </c>
    </row>
    <row r="45" spans="1:10" x14ac:dyDescent="0.25">
      <c r="A45" t="s">
        <v>139</v>
      </c>
    </row>
    <row r="46" spans="1:10" x14ac:dyDescent="0.25">
      <c r="A46" s="56" t="s">
        <v>139</v>
      </c>
    </row>
    <row r="47" spans="1:10" x14ac:dyDescent="0.25">
      <c r="A47" s="57" t="s">
        <v>139</v>
      </c>
    </row>
    <row r="48" spans="1:10" x14ac:dyDescent="0.25">
      <c r="A48" t="s">
        <v>105</v>
      </c>
      <c r="B48">
        <v>2</v>
      </c>
      <c r="C48">
        <v>8</v>
      </c>
      <c r="D48">
        <v>1</v>
      </c>
      <c r="E48">
        <v>2</v>
      </c>
      <c r="F48">
        <v>14</v>
      </c>
      <c r="G48">
        <v>2</v>
      </c>
      <c r="H48">
        <v>3</v>
      </c>
      <c r="J48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81ED-A2FE-4B51-9F50-F91B9C17877C}">
  <dimension ref="A3:C15"/>
  <sheetViews>
    <sheetView workbookViewId="0">
      <selection activeCell="C21" sqref="C21"/>
    </sheetView>
  </sheetViews>
  <sheetFormatPr defaultRowHeight="13.2" x14ac:dyDescent="0.25"/>
  <cols>
    <col min="1" max="1" width="13.77734375" bestFit="1" customWidth="1"/>
    <col min="2" max="3" width="40.88671875" bestFit="1" customWidth="1"/>
    <col min="4" max="4" width="5" bestFit="1" customWidth="1"/>
    <col min="5" max="9" width="6" bestFit="1" customWidth="1"/>
    <col min="10" max="10" width="5" bestFit="1" customWidth="1"/>
    <col min="11" max="29" width="6" bestFit="1" customWidth="1"/>
    <col min="30" max="30" width="7" bestFit="1" customWidth="1"/>
    <col min="31" max="31" width="6" bestFit="1" customWidth="1"/>
    <col min="32" max="32" width="7" bestFit="1" customWidth="1"/>
    <col min="33" max="33" width="6.88671875" bestFit="1" customWidth="1"/>
    <col min="34" max="34" width="11.109375" bestFit="1" customWidth="1"/>
  </cols>
  <sheetData>
    <row r="3" spans="1:3" x14ac:dyDescent="0.25">
      <c r="A3" s="54" t="s">
        <v>104</v>
      </c>
      <c r="B3" t="s">
        <v>142</v>
      </c>
      <c r="C3" t="s">
        <v>141</v>
      </c>
    </row>
    <row r="4" spans="1:3" x14ac:dyDescent="0.25">
      <c r="A4" t="s">
        <v>65</v>
      </c>
      <c r="B4">
        <v>3.3119833544294486E-2</v>
      </c>
      <c r="C4">
        <v>0.10358310391619881</v>
      </c>
    </row>
    <row r="5" spans="1:3" x14ac:dyDescent="0.25">
      <c r="A5" s="56" t="s">
        <v>108</v>
      </c>
      <c r="B5">
        <v>2.3335557030531168E-2</v>
      </c>
      <c r="C5">
        <v>7.8476056658003404E-2</v>
      </c>
    </row>
    <row r="6" spans="1:3" x14ac:dyDescent="0.25">
      <c r="A6" s="56" t="s">
        <v>107</v>
      </c>
      <c r="B6">
        <v>4.2904110058057804E-2</v>
      </c>
      <c r="C6">
        <v>0.12869015117439422</v>
      </c>
    </row>
    <row r="7" spans="1:3" x14ac:dyDescent="0.25">
      <c r="A7" t="s">
        <v>64</v>
      </c>
      <c r="B7">
        <v>2.752733506367978E-2</v>
      </c>
      <c r="C7">
        <v>8.8641580977158005E-2</v>
      </c>
    </row>
    <row r="8" spans="1:3" x14ac:dyDescent="0.25">
      <c r="A8" s="56" t="s">
        <v>108</v>
      </c>
      <c r="B8">
        <v>1.1563218684171319E-2</v>
      </c>
      <c r="C8">
        <v>3.7980913075955192E-2</v>
      </c>
    </row>
    <row r="9" spans="1:3" x14ac:dyDescent="0.25">
      <c r="A9" s="56" t="s">
        <v>107</v>
      </c>
      <c r="B9">
        <v>4.3491451443188237E-2</v>
      </c>
      <c r="C9">
        <v>0.13930224887836085</v>
      </c>
    </row>
    <row r="10" spans="1:3" x14ac:dyDescent="0.25">
      <c r="A10" t="s">
        <v>66</v>
      </c>
      <c r="B10">
        <v>2.0701359653196291E-2</v>
      </c>
      <c r="C10">
        <v>6.1365870869581229E-2</v>
      </c>
    </row>
    <row r="11" spans="1:3" x14ac:dyDescent="0.25">
      <c r="A11" s="56" t="s">
        <v>108</v>
      </c>
      <c r="B11">
        <v>2.1499612794638634E-2</v>
      </c>
      <c r="C11">
        <v>6.6248929777531967E-2</v>
      </c>
    </row>
    <row r="12" spans="1:3" x14ac:dyDescent="0.25">
      <c r="A12" s="56" t="s">
        <v>107</v>
      </c>
      <c r="B12">
        <v>1.9903106511753945E-2</v>
      </c>
      <c r="C12">
        <v>5.6482811961630484E-2</v>
      </c>
    </row>
    <row r="13" spans="1:3" x14ac:dyDescent="0.25">
      <c r="A13" t="s">
        <v>139</v>
      </c>
      <c r="B13">
        <v>4.6524549503884419E-2</v>
      </c>
      <c r="C13">
        <v>0.1308812516607499</v>
      </c>
    </row>
    <row r="14" spans="1:3" x14ac:dyDescent="0.25">
      <c r="A14" s="56" t="s">
        <v>139</v>
      </c>
      <c r="B14">
        <v>4.6524549503884419E-2</v>
      </c>
      <c r="C14">
        <v>0.1308812516607499</v>
      </c>
    </row>
    <row r="15" spans="1:3" x14ac:dyDescent="0.25">
      <c r="A15" t="s">
        <v>105</v>
      </c>
      <c r="B15">
        <v>2.8025617901333594E-2</v>
      </c>
      <c r="C15">
        <v>8.7345192687181952E-2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797F-ECA3-45E5-ABE7-01CBF558E73A}">
  <dimension ref="A1:S51"/>
  <sheetViews>
    <sheetView tabSelected="1" topLeftCell="A2" workbookViewId="0">
      <pane ySplit="528" topLeftCell="A24" activePane="bottomLeft"/>
      <selection activeCell="G2" sqref="A1:XFD1048576"/>
      <selection pane="bottomLeft" activeCell="E10" sqref="E10"/>
    </sheetView>
  </sheetViews>
  <sheetFormatPr defaultRowHeight="13.2" x14ac:dyDescent="0.25"/>
  <cols>
    <col min="1" max="1" width="20.109375" style="48" customWidth="1"/>
    <col min="2" max="2" width="8.88671875" style="48"/>
    <col min="3" max="3" width="21" style="48" customWidth="1"/>
    <col min="4" max="4" width="13.44140625" style="48" bestFit="1" customWidth="1"/>
    <col min="5" max="5" width="15.77734375" style="48" bestFit="1" customWidth="1"/>
    <col min="6" max="6" width="16.33203125" style="48" bestFit="1" customWidth="1"/>
    <col min="7" max="7" width="25.88671875" style="75" customWidth="1"/>
    <col min="8" max="8" width="23.109375" style="48" bestFit="1" customWidth="1"/>
    <col min="9" max="9" width="19.33203125" style="38" bestFit="1" customWidth="1"/>
    <col min="10" max="10" width="20.77734375" style="38" bestFit="1" customWidth="1"/>
    <col min="11" max="11" width="31.44140625" style="52" bestFit="1" customWidth="1"/>
    <col min="12" max="12" width="24.21875" style="38" bestFit="1" customWidth="1"/>
    <col min="13" max="13" width="6.88671875" style="60" bestFit="1" customWidth="1"/>
    <col min="14" max="14" width="6.77734375" style="60" bestFit="1" customWidth="1"/>
    <col min="15" max="15" width="8.88671875" style="60"/>
    <col min="16" max="16" width="8.88671875" style="52"/>
    <col min="17" max="17" width="12.5546875" style="60" bestFit="1" customWidth="1"/>
    <col min="18" max="18" width="12.5546875" style="52" customWidth="1"/>
    <col min="19" max="19" width="15.44140625" style="60" bestFit="1" customWidth="1"/>
    <col min="20" max="16384" width="8.88671875" style="38"/>
  </cols>
  <sheetData>
    <row r="1" spans="1:19" x14ac:dyDescent="0.25">
      <c r="A1" s="45" t="s">
        <v>67</v>
      </c>
      <c r="B1" s="45" t="s">
        <v>109</v>
      </c>
      <c r="C1" s="45" t="s">
        <v>63</v>
      </c>
      <c r="D1" s="45" t="s">
        <v>112</v>
      </c>
      <c r="E1" s="45" t="s">
        <v>113</v>
      </c>
      <c r="F1" s="45" t="s">
        <v>114</v>
      </c>
      <c r="G1" s="51" t="s">
        <v>133</v>
      </c>
      <c r="H1" s="45" t="s">
        <v>132</v>
      </c>
      <c r="I1" s="45" t="s">
        <v>118</v>
      </c>
      <c r="J1" s="45" t="s">
        <v>119</v>
      </c>
      <c r="K1" s="51" t="s">
        <v>134</v>
      </c>
      <c r="L1" s="45" t="s">
        <v>131</v>
      </c>
      <c r="M1" s="58" t="s">
        <v>122</v>
      </c>
      <c r="N1" s="58" t="s">
        <v>123</v>
      </c>
      <c r="O1" s="58" t="s">
        <v>126</v>
      </c>
      <c r="P1" s="51" t="s">
        <v>138</v>
      </c>
      <c r="Q1" s="58" t="s">
        <v>135</v>
      </c>
      <c r="R1" s="51" t="s">
        <v>137</v>
      </c>
      <c r="S1" s="58" t="s">
        <v>136</v>
      </c>
    </row>
    <row r="2" spans="1:19" x14ac:dyDescent="0.25">
      <c r="A2" s="4" t="s">
        <v>32</v>
      </c>
      <c r="B2" s="7" t="s">
        <v>107</v>
      </c>
      <c r="C2" s="7" t="s">
        <v>64</v>
      </c>
      <c r="D2" s="46">
        <v>1771384</v>
      </c>
      <c r="E2" s="50">
        <v>287</v>
      </c>
      <c r="F2" s="47">
        <v>36.799999999999997</v>
      </c>
      <c r="G2" s="74">
        <v>16.690000000000001</v>
      </c>
      <c r="H2" s="47">
        <v>54.16</v>
      </c>
      <c r="I2" s="48">
        <f t="shared" ref="I2:I33" si="0">+F2/D2</f>
        <v>2.0774716267054458E-5</v>
      </c>
      <c r="J2" s="48">
        <f t="shared" ref="J2:J33" si="1">+F2/E2</f>
        <v>0.12822299651567942</v>
      </c>
      <c r="K2" s="75">
        <f>+G2/E2*100</f>
        <v>5.8153310104529616</v>
      </c>
      <c r="L2" s="48">
        <f t="shared" ref="L2:L33" si="2">+H2/E2</f>
        <v>0.1887108013937282</v>
      </c>
      <c r="M2" s="59">
        <f t="shared" ref="M2:M33" si="3">+(I2-$I$41)/($I$42-$I$41)</f>
        <v>0.41692319316778603</v>
      </c>
      <c r="N2" s="59">
        <f t="shared" ref="N2:N33" si="4">+(J2-$J$41)/($J$42-$J$41)</f>
        <v>0.54412219968199793</v>
      </c>
      <c r="O2" s="61">
        <f t="shared" ref="O2:O33" si="5">+SUM(M2:N2)</f>
        <v>0.96104539284978396</v>
      </c>
      <c r="P2" s="76">
        <f t="shared" ref="P2:P33" si="6">+(K2-$K$41)/($K$42-$K$41)</f>
        <v>0.62800212783447318</v>
      </c>
      <c r="Q2" s="59">
        <f t="shared" ref="Q2:Q33" si="7">+(L2-$L$41)/($L$42-$L$41)</f>
        <v>0.72745189763525908</v>
      </c>
      <c r="R2" s="53">
        <v>6</v>
      </c>
      <c r="S2" s="81">
        <v>6</v>
      </c>
    </row>
    <row r="3" spans="1:19" x14ac:dyDescent="0.25">
      <c r="A3" s="10" t="s">
        <v>53</v>
      </c>
      <c r="B3" s="6" t="s">
        <v>108</v>
      </c>
      <c r="C3" s="6" t="s">
        <v>64</v>
      </c>
      <c r="D3" s="46">
        <v>1950100</v>
      </c>
      <c r="E3" s="50">
        <v>2460</v>
      </c>
      <c r="F3" s="47">
        <v>37.700000000000003</v>
      </c>
      <c r="G3" s="74">
        <v>7.55</v>
      </c>
      <c r="H3" s="47">
        <v>29.93</v>
      </c>
      <c r="I3" s="48">
        <f t="shared" si="0"/>
        <v>1.9332341931183018E-5</v>
      </c>
      <c r="J3" s="48">
        <f t="shared" si="1"/>
        <v>1.5325203252032521E-2</v>
      </c>
      <c r="K3" s="75">
        <f t="shared" ref="K3:K33" si="8">+G3/E3*100</f>
        <v>0.30691056910569103</v>
      </c>
      <c r="L3" s="48">
        <f t="shared" si="2"/>
        <v>1.2166666666666666E-2</v>
      </c>
      <c r="M3" s="59">
        <f t="shared" si="3"/>
        <v>0.38436007396433008</v>
      </c>
      <c r="N3" s="59">
        <f t="shared" si="4"/>
        <v>5.3999563016846129E-2</v>
      </c>
      <c r="O3" s="61">
        <f t="shared" si="5"/>
        <v>0.43835963698117619</v>
      </c>
      <c r="P3" s="76">
        <f t="shared" si="6"/>
        <v>2.166963745691947E-2</v>
      </c>
      <c r="Q3" s="59">
        <f t="shared" si="7"/>
        <v>3.307854274216819E-2</v>
      </c>
      <c r="R3" s="53">
        <v>2</v>
      </c>
      <c r="S3" s="81">
        <v>2</v>
      </c>
    </row>
    <row r="4" spans="1:19" x14ac:dyDescent="0.25">
      <c r="A4" s="10" t="s">
        <v>46</v>
      </c>
      <c r="B4" s="6" t="s">
        <v>108</v>
      </c>
      <c r="C4" s="6" t="s">
        <v>64</v>
      </c>
      <c r="D4" s="46">
        <v>2111500</v>
      </c>
      <c r="E4" s="50">
        <v>1699</v>
      </c>
      <c r="F4" s="47">
        <v>98.4</v>
      </c>
      <c r="G4" s="74">
        <v>37.75</v>
      </c>
      <c r="H4" s="47">
        <v>116.55</v>
      </c>
      <c r="I4" s="48">
        <f t="shared" si="0"/>
        <v>4.6601941747572818E-5</v>
      </c>
      <c r="J4" s="48">
        <f t="shared" si="1"/>
        <v>5.791642142436728E-2</v>
      </c>
      <c r="K4" s="75">
        <f t="shared" si="8"/>
        <v>2.2218952324896999</v>
      </c>
      <c r="L4" s="48">
        <f t="shared" si="2"/>
        <v>6.8599175985874047E-2</v>
      </c>
      <c r="M4" s="59">
        <f t="shared" si="3"/>
        <v>1</v>
      </c>
      <c r="N4" s="59">
        <f t="shared" si="4"/>
        <v>0.23890060975968946</v>
      </c>
      <c r="O4" s="61">
        <f t="shared" si="5"/>
        <v>1.2389006097596895</v>
      </c>
      <c r="P4" s="76">
        <f t="shared" si="6"/>
        <v>0.23245917909554875</v>
      </c>
      <c r="Q4" s="59">
        <f t="shared" si="7"/>
        <v>0.25503568043804398</v>
      </c>
      <c r="R4" s="53">
        <v>3</v>
      </c>
      <c r="S4" s="81">
        <v>3</v>
      </c>
    </row>
    <row r="5" spans="1:19" x14ac:dyDescent="0.25">
      <c r="A5" s="4" t="s">
        <v>31</v>
      </c>
      <c r="B5" s="7" t="s">
        <v>107</v>
      </c>
      <c r="C5" s="7" t="s">
        <v>64</v>
      </c>
      <c r="D5" s="46">
        <v>2239191</v>
      </c>
      <c r="E5" s="50">
        <v>372.39</v>
      </c>
      <c r="F5" s="47">
        <v>22.6</v>
      </c>
      <c r="G5" s="74">
        <v>7.54</v>
      </c>
      <c r="H5" s="47">
        <v>26.6</v>
      </c>
      <c r="I5" s="48">
        <f t="shared" si="0"/>
        <v>1.0092930884413167E-5</v>
      </c>
      <c r="J5" s="48">
        <f t="shared" si="1"/>
        <v>6.0689062541958702E-2</v>
      </c>
      <c r="K5" s="75">
        <f t="shared" si="8"/>
        <v>2.0247589892317195</v>
      </c>
      <c r="L5" s="48">
        <f t="shared" si="2"/>
        <v>7.1430489540535463E-2</v>
      </c>
      <c r="M5" s="59">
        <f t="shared" si="3"/>
        <v>0.17577064207879856</v>
      </c>
      <c r="N5" s="59">
        <f t="shared" si="4"/>
        <v>0.25093746305678305</v>
      </c>
      <c r="O5" s="61">
        <f t="shared" si="5"/>
        <v>0.42670810513558161</v>
      </c>
      <c r="P5" s="76">
        <f t="shared" si="6"/>
        <v>0.21075965368876057</v>
      </c>
      <c r="Q5" s="59">
        <f t="shared" si="7"/>
        <v>0.26617164196258836</v>
      </c>
      <c r="R5" s="53">
        <v>5</v>
      </c>
      <c r="S5" s="81">
        <v>5</v>
      </c>
    </row>
    <row r="6" spans="1:19" x14ac:dyDescent="0.25">
      <c r="A6" s="10" t="s">
        <v>54</v>
      </c>
      <c r="B6" s="6" t="s">
        <v>108</v>
      </c>
      <c r="C6" s="6" t="s">
        <v>64</v>
      </c>
      <c r="D6" s="46">
        <v>2668300</v>
      </c>
      <c r="E6" s="50">
        <v>9596</v>
      </c>
      <c r="F6" s="47">
        <v>27.7</v>
      </c>
      <c r="G6" s="74">
        <v>10.56</v>
      </c>
      <c r="H6" s="47">
        <v>36.046999999999997</v>
      </c>
      <c r="I6" s="48">
        <f t="shared" si="0"/>
        <v>1.0381141550800135E-5</v>
      </c>
      <c r="J6" s="48">
        <f t="shared" si="1"/>
        <v>2.8866194247603168E-3</v>
      </c>
      <c r="K6" s="75">
        <f t="shared" si="8"/>
        <v>0.11004585243851606</v>
      </c>
      <c r="L6" s="48">
        <f t="shared" si="2"/>
        <v>3.756461025427261E-3</v>
      </c>
      <c r="M6" s="59">
        <f t="shared" si="3"/>
        <v>0.18227730130855818</v>
      </c>
      <c r="N6" s="59">
        <f t="shared" si="4"/>
        <v>0</v>
      </c>
      <c r="O6" s="61">
        <f t="shared" si="5"/>
        <v>0.18227730130855818</v>
      </c>
      <c r="P6" s="76">
        <f t="shared" si="6"/>
        <v>0</v>
      </c>
      <c r="Q6" s="59">
        <f t="shared" si="7"/>
        <v>0</v>
      </c>
      <c r="R6" s="53">
        <v>5</v>
      </c>
      <c r="S6" s="81">
        <v>5</v>
      </c>
    </row>
    <row r="7" spans="1:19" x14ac:dyDescent="0.25">
      <c r="A7" s="4" t="s">
        <v>30</v>
      </c>
      <c r="B7" s="7" t="s">
        <v>107</v>
      </c>
      <c r="C7" s="7" t="s">
        <v>64</v>
      </c>
      <c r="D7" s="46">
        <v>2852372</v>
      </c>
      <c r="E7" s="50">
        <v>251.01</v>
      </c>
      <c r="F7" s="47">
        <v>38.799999999999997</v>
      </c>
      <c r="G7" s="74">
        <v>14.6</v>
      </c>
      <c r="H7" s="47">
        <v>48.3</v>
      </c>
      <c r="I7" s="48">
        <f t="shared" si="0"/>
        <v>1.360271381152248E-5</v>
      </c>
      <c r="J7" s="48">
        <f t="shared" si="1"/>
        <v>0.15457551491972432</v>
      </c>
      <c r="K7" s="75">
        <f t="shared" si="8"/>
        <v>5.8165013346081835</v>
      </c>
      <c r="L7" s="48">
        <f t="shared" si="2"/>
        <v>0.19242261264491453</v>
      </c>
      <c r="M7" s="59">
        <f t="shared" si="3"/>
        <v>0.25500768685377012</v>
      </c>
      <c r="N7" s="59">
        <f t="shared" si="4"/>
        <v>0.65852625869487114</v>
      </c>
      <c r="O7" s="61">
        <f t="shared" si="5"/>
        <v>0.91353394554864131</v>
      </c>
      <c r="P7" s="76">
        <f t="shared" si="6"/>
        <v>0.6281309498020663</v>
      </c>
      <c r="Q7" s="59">
        <f t="shared" si="7"/>
        <v>0.74205098264706548</v>
      </c>
      <c r="R7" s="53">
        <v>6</v>
      </c>
      <c r="S7" s="81">
        <v>6</v>
      </c>
    </row>
    <row r="8" spans="1:19" x14ac:dyDescent="0.25">
      <c r="A8" s="4" t="s">
        <v>95</v>
      </c>
      <c r="B8" s="7" t="s">
        <v>107</v>
      </c>
      <c r="C8" s="7" t="s">
        <v>64</v>
      </c>
      <c r="D8" s="46">
        <v>3383258</v>
      </c>
      <c r="E8" s="50">
        <v>172.65299999999999</v>
      </c>
      <c r="F8" s="47">
        <v>39.4</v>
      </c>
      <c r="G8" s="74">
        <v>12.96</v>
      </c>
      <c r="H8" s="47">
        <v>40.96</v>
      </c>
      <c r="I8" s="48">
        <f t="shared" si="0"/>
        <v>1.1645579497632163E-5</v>
      </c>
      <c r="J8" s="48">
        <f t="shared" si="1"/>
        <v>0.22820339061585956</v>
      </c>
      <c r="K8" s="75">
        <f t="shared" si="8"/>
        <v>7.5063856405622857</v>
      </c>
      <c r="L8" s="48">
        <f t="shared" si="2"/>
        <v>0.23723885481283269</v>
      </c>
      <c r="M8" s="59">
        <f t="shared" si="3"/>
        <v>0.21082331919315142</v>
      </c>
      <c r="N8" s="59">
        <f t="shared" si="4"/>
        <v>0.97816659465760936</v>
      </c>
      <c r="O8" s="61">
        <f t="shared" si="5"/>
        <v>1.1889899138507607</v>
      </c>
      <c r="P8" s="76">
        <f t="shared" si="6"/>
        <v>0.81414285114278639</v>
      </c>
      <c r="Q8" s="59">
        <f t="shared" si="7"/>
        <v>0.91831967872099085</v>
      </c>
      <c r="R8" s="53">
        <v>1</v>
      </c>
      <c r="S8" s="81">
        <v>1</v>
      </c>
    </row>
    <row r="9" spans="1:19" x14ac:dyDescent="0.25">
      <c r="A9" s="4" t="s">
        <v>29</v>
      </c>
      <c r="B9" s="7" t="s">
        <v>107</v>
      </c>
      <c r="C9" s="7" t="s">
        <v>64</v>
      </c>
      <c r="D9" s="46">
        <v>3611087</v>
      </c>
      <c r="E9" s="50">
        <v>260.63</v>
      </c>
      <c r="F9" s="47">
        <v>56.5</v>
      </c>
      <c r="G9" s="74">
        <v>22.33</v>
      </c>
      <c r="H9" s="47">
        <v>65.64</v>
      </c>
      <c r="I9" s="48">
        <f t="shared" si="0"/>
        <v>1.5646258315017057E-5</v>
      </c>
      <c r="J9" s="48">
        <f t="shared" si="1"/>
        <v>0.21678241184821395</v>
      </c>
      <c r="K9" s="75">
        <f t="shared" si="8"/>
        <v>8.5677013390630385</v>
      </c>
      <c r="L9" s="48">
        <f t="shared" si="2"/>
        <v>0.25185128342861529</v>
      </c>
      <c r="M9" s="59">
        <f t="shared" si="3"/>
        <v>0.30114285551971637</v>
      </c>
      <c r="N9" s="59">
        <f t="shared" si="4"/>
        <v>0.92858475549957475</v>
      </c>
      <c r="O9" s="61">
        <f t="shared" si="5"/>
        <v>1.2297276110192912</v>
      </c>
      <c r="P9" s="76">
        <f t="shared" si="6"/>
        <v>0.93096584920561443</v>
      </c>
      <c r="Q9" s="59">
        <f t="shared" si="7"/>
        <v>0.97579245229550404</v>
      </c>
      <c r="R9" s="53">
        <v>1</v>
      </c>
      <c r="S9" s="81">
        <v>1</v>
      </c>
    </row>
    <row r="10" spans="1:19" x14ac:dyDescent="0.25">
      <c r="A10" s="10" t="s">
        <v>50</v>
      </c>
      <c r="B10" s="6" t="s">
        <v>108</v>
      </c>
      <c r="C10" s="6" t="s">
        <v>64</v>
      </c>
      <c r="D10" s="46">
        <v>3693100</v>
      </c>
      <c r="E10" s="50">
        <v>1632</v>
      </c>
      <c r="F10" s="47">
        <v>25.9</v>
      </c>
      <c r="G10" s="74">
        <v>13.43</v>
      </c>
      <c r="H10" s="47">
        <v>43.04</v>
      </c>
      <c r="I10" s="48">
        <f t="shared" si="0"/>
        <v>7.0130784435839806E-6</v>
      </c>
      <c r="J10" s="48">
        <f t="shared" si="1"/>
        <v>1.5870098039215685E-2</v>
      </c>
      <c r="K10" s="75">
        <f t="shared" si="8"/>
        <v>0.82291666666666663</v>
      </c>
      <c r="L10" s="48">
        <f t="shared" si="2"/>
        <v>2.6372549019607842E-2</v>
      </c>
      <c r="M10" s="59">
        <f t="shared" si="3"/>
        <v>0.1062397306741779</v>
      </c>
      <c r="N10" s="59">
        <f t="shared" si="4"/>
        <v>5.636511208630969E-2</v>
      </c>
      <c r="O10" s="61">
        <f t="shared" si="5"/>
        <v>0.16260484276048759</v>
      </c>
      <c r="P10" s="76">
        <f t="shared" si="6"/>
        <v>7.8468363246925799E-2</v>
      </c>
      <c r="Q10" s="59">
        <f t="shared" si="7"/>
        <v>8.8952311666173636E-2</v>
      </c>
      <c r="R10" s="53">
        <v>5</v>
      </c>
      <c r="S10" s="81">
        <v>5</v>
      </c>
    </row>
    <row r="11" spans="1:19" x14ac:dyDescent="0.25">
      <c r="A11" s="4" t="s">
        <v>0</v>
      </c>
      <c r="B11" s="7" t="s">
        <v>107</v>
      </c>
      <c r="C11" s="7" t="s">
        <v>64</v>
      </c>
      <c r="D11" s="46">
        <v>3887261</v>
      </c>
      <c r="E11" s="50">
        <v>841.23999999996545</v>
      </c>
      <c r="F11" s="47">
        <v>35.799999999999997</v>
      </c>
      <c r="G11" s="74">
        <v>14.6</v>
      </c>
      <c r="H11" s="47">
        <v>46.7</v>
      </c>
      <c r="I11" s="48">
        <f t="shared" si="0"/>
        <v>9.2095694114699262E-6</v>
      </c>
      <c r="J11" s="48">
        <f t="shared" si="1"/>
        <v>4.2556226522753871E-2</v>
      </c>
      <c r="K11" s="75">
        <f t="shared" si="8"/>
        <v>1.7355332604251581</v>
      </c>
      <c r="L11" s="48">
        <f t="shared" si="2"/>
        <v>5.5513289905380056E-2</v>
      </c>
      <c r="M11" s="59">
        <f t="shared" si="3"/>
        <v>0.15582782679998103</v>
      </c>
      <c r="N11" s="59">
        <f t="shared" si="4"/>
        <v>0.17221747090250575</v>
      </c>
      <c r="O11" s="61">
        <f t="shared" si="5"/>
        <v>0.3280452977024868</v>
      </c>
      <c r="P11" s="76">
        <f t="shared" si="6"/>
        <v>0.17892349334192015</v>
      </c>
      <c r="Q11" s="59">
        <f t="shared" si="7"/>
        <v>0.203567017185599</v>
      </c>
      <c r="R11" s="53">
        <v>5</v>
      </c>
      <c r="S11" s="81">
        <v>5</v>
      </c>
    </row>
    <row r="12" spans="1:19" x14ac:dyDescent="0.25">
      <c r="A12" s="10" t="s">
        <v>52</v>
      </c>
      <c r="B12" s="6" t="s">
        <v>108</v>
      </c>
      <c r="C12" s="6" t="s">
        <v>64</v>
      </c>
      <c r="D12" s="46">
        <v>3889700.0000000005</v>
      </c>
      <c r="E12" s="50">
        <v>3798</v>
      </c>
      <c r="F12" s="47">
        <v>94.5</v>
      </c>
      <c r="G12" s="74">
        <v>38.19</v>
      </c>
      <c r="H12" s="47">
        <v>138.43</v>
      </c>
      <c r="I12" s="48">
        <f t="shared" si="0"/>
        <v>2.4294932771164868E-5</v>
      </c>
      <c r="J12" s="48">
        <f t="shared" si="1"/>
        <v>2.4881516587677725E-2</v>
      </c>
      <c r="K12" s="75">
        <f t="shared" si="8"/>
        <v>1.0055292259083728</v>
      </c>
      <c r="L12" s="48">
        <f t="shared" si="2"/>
        <v>3.6448130595050025E-2</v>
      </c>
      <c r="M12" s="59">
        <f t="shared" si="3"/>
        <v>0.49639578692831265</v>
      </c>
      <c r="N12" s="59">
        <f t="shared" si="4"/>
        <v>9.5486339272312162E-2</v>
      </c>
      <c r="O12" s="61">
        <f t="shared" si="5"/>
        <v>0.59188212620062486</v>
      </c>
      <c r="P12" s="76">
        <f t="shared" si="6"/>
        <v>9.8569212301243977E-2</v>
      </c>
      <c r="Q12" s="59">
        <f t="shared" si="7"/>
        <v>0.1285810163629057</v>
      </c>
      <c r="R12" s="53">
        <v>2</v>
      </c>
      <c r="S12" s="81">
        <v>2</v>
      </c>
    </row>
    <row r="13" spans="1:19" x14ac:dyDescent="0.25">
      <c r="A13" s="10" t="s">
        <v>49</v>
      </c>
      <c r="B13" s="6" t="s">
        <v>108</v>
      </c>
      <c r="C13" s="6" t="s">
        <v>64</v>
      </c>
      <c r="D13" s="46">
        <v>3992799.9999999995</v>
      </c>
      <c r="E13" s="50">
        <v>1786</v>
      </c>
      <c r="F13" s="47">
        <v>78.900000000000006</v>
      </c>
      <c r="G13" s="74">
        <v>53.62</v>
      </c>
      <c r="H13" s="47">
        <v>168.41</v>
      </c>
      <c r="I13" s="48">
        <f t="shared" si="0"/>
        <v>1.9760569024243642E-5</v>
      </c>
      <c r="J13" s="48">
        <f t="shared" si="1"/>
        <v>4.4176931690929455E-2</v>
      </c>
      <c r="K13" s="75">
        <f t="shared" si="8"/>
        <v>3.0022396416573347</v>
      </c>
      <c r="L13" s="48">
        <f t="shared" si="2"/>
        <v>9.4294512877939524E-2</v>
      </c>
      <c r="M13" s="59">
        <f t="shared" si="3"/>
        <v>0.39402775143937174</v>
      </c>
      <c r="N13" s="59">
        <f t="shared" si="4"/>
        <v>0.1792534303072042</v>
      </c>
      <c r="O13" s="61">
        <f t="shared" si="5"/>
        <v>0.57328118174657594</v>
      </c>
      <c r="P13" s="76">
        <f t="shared" si="6"/>
        <v>0.31835461391226516</v>
      </c>
      <c r="Q13" s="59">
        <f t="shared" si="7"/>
        <v>0.3560991188266136</v>
      </c>
      <c r="R13" s="53">
        <v>2</v>
      </c>
      <c r="S13" s="81">
        <v>2</v>
      </c>
    </row>
    <row r="14" spans="1:19" x14ac:dyDescent="0.25">
      <c r="A14" s="4" t="s">
        <v>28</v>
      </c>
      <c r="B14" s="7" t="s">
        <v>107</v>
      </c>
      <c r="C14" s="7" t="s">
        <v>64</v>
      </c>
      <c r="D14" s="46">
        <v>4016371</v>
      </c>
      <c r="E14" s="50">
        <v>384.43686323588486</v>
      </c>
      <c r="F14" s="47">
        <v>31.4</v>
      </c>
      <c r="G14" s="74">
        <v>7</v>
      </c>
      <c r="H14" s="47">
        <v>26.2</v>
      </c>
      <c r="I14" s="48">
        <f t="shared" si="0"/>
        <v>7.8180028687588875E-6</v>
      </c>
      <c r="J14" s="48">
        <f t="shared" si="1"/>
        <v>8.1677911258820707E-2</v>
      </c>
      <c r="K14" s="75">
        <f t="shared" si="8"/>
        <v>1.8208451554514171</v>
      </c>
      <c r="L14" s="48">
        <f t="shared" si="2"/>
        <v>6.815163296118161E-2</v>
      </c>
      <c r="M14" s="59">
        <f t="shared" si="3"/>
        <v>0.12441174701895566</v>
      </c>
      <c r="N14" s="59">
        <f t="shared" si="4"/>
        <v>0.3420562491401497</v>
      </c>
      <c r="O14" s="61">
        <f t="shared" si="5"/>
        <v>0.46646799615910539</v>
      </c>
      <c r="P14" s="76">
        <f t="shared" si="6"/>
        <v>0.18831409348235686</v>
      </c>
      <c r="Q14" s="59">
        <f t="shared" si="7"/>
        <v>0.25327542965432281</v>
      </c>
      <c r="R14" s="53">
        <v>5</v>
      </c>
      <c r="S14" s="81">
        <v>7</v>
      </c>
    </row>
    <row r="15" spans="1:19" x14ac:dyDescent="0.25">
      <c r="A15" s="4" t="s">
        <v>96</v>
      </c>
      <c r="B15" s="7" t="s">
        <v>107</v>
      </c>
      <c r="C15" s="7" t="s">
        <v>64</v>
      </c>
      <c r="D15" s="46">
        <v>4161237</v>
      </c>
      <c r="E15" s="50">
        <v>433.98</v>
      </c>
      <c r="F15" s="47">
        <v>38.299999999999997</v>
      </c>
      <c r="G15" s="74">
        <v>11.53</v>
      </c>
      <c r="H15" s="47">
        <v>44.15</v>
      </c>
      <c r="I15" s="48">
        <f t="shared" si="0"/>
        <v>9.2039939085420992E-6</v>
      </c>
      <c r="J15" s="48">
        <f>+F15/E15</f>
        <v>8.8252914880870073E-2</v>
      </c>
      <c r="K15" s="75">
        <f t="shared" si="8"/>
        <v>2.6568044610350707</v>
      </c>
      <c r="L15" s="48">
        <f t="shared" si="2"/>
        <v>0.10173279874648601</v>
      </c>
      <c r="M15" s="59">
        <f t="shared" si="3"/>
        <v>0.15570195395134334</v>
      </c>
      <c r="N15" s="59">
        <f t="shared" si="4"/>
        <v>0.37060028014522184</v>
      </c>
      <c r="O15" s="61">
        <f t="shared" si="5"/>
        <v>0.52630223409656518</v>
      </c>
      <c r="P15" s="76">
        <f t="shared" si="6"/>
        <v>0.2803312684612615</v>
      </c>
      <c r="Q15" s="59">
        <f t="shared" si="7"/>
        <v>0.3853549619685086</v>
      </c>
      <c r="R15" s="53">
        <v>5</v>
      </c>
      <c r="S15" s="81">
        <v>7</v>
      </c>
    </row>
    <row r="16" spans="1:19" x14ac:dyDescent="0.25">
      <c r="A16" s="10" t="s">
        <v>48</v>
      </c>
      <c r="B16" s="6" t="s">
        <v>108</v>
      </c>
      <c r="C16" s="6" t="s">
        <v>64</v>
      </c>
      <c r="D16" s="46">
        <v>4431100</v>
      </c>
      <c r="E16" s="50">
        <v>2965</v>
      </c>
      <c r="F16" s="47">
        <v>20.3</v>
      </c>
      <c r="G16" s="74">
        <v>17.579999999999998</v>
      </c>
      <c r="H16" s="47">
        <v>63.4</v>
      </c>
      <c r="I16" s="48">
        <f t="shared" si="0"/>
        <v>4.5812552187944301E-6</v>
      </c>
      <c r="J16" s="48">
        <f t="shared" si="1"/>
        <v>6.8465430016863412E-3</v>
      </c>
      <c r="K16" s="75">
        <f t="shared" si="8"/>
        <v>0.59291736930860028</v>
      </c>
      <c r="L16" s="48">
        <f t="shared" si="2"/>
        <v>2.1382799325463744E-2</v>
      </c>
      <c r="M16" s="59">
        <f t="shared" si="3"/>
        <v>5.1338761084538109E-2</v>
      </c>
      <c r="N16" s="59">
        <f t="shared" si="4"/>
        <v>1.7191196819791477E-2</v>
      </c>
      <c r="O16" s="61">
        <f t="shared" si="5"/>
        <v>6.8529957904329586E-2</v>
      </c>
      <c r="P16" s="76">
        <f t="shared" si="6"/>
        <v>5.3151478263815249E-2</v>
      </c>
      <c r="Q16" s="59">
        <f t="shared" si="7"/>
        <v>6.9326911816124021E-2</v>
      </c>
      <c r="R16" s="53">
        <v>5</v>
      </c>
      <c r="S16" s="81">
        <v>5</v>
      </c>
    </row>
    <row r="17" spans="1:19" x14ac:dyDescent="0.25">
      <c r="A17" s="4" t="s">
        <v>27</v>
      </c>
      <c r="B17" s="7" t="s">
        <v>107</v>
      </c>
      <c r="C17" s="7" t="s">
        <v>64</v>
      </c>
      <c r="D17" s="46">
        <v>4515531</v>
      </c>
      <c r="E17" s="50">
        <v>692.524</v>
      </c>
      <c r="F17" s="47">
        <v>30.1</v>
      </c>
      <c r="G17" s="74">
        <v>22.15</v>
      </c>
      <c r="H17" s="47">
        <v>60.02</v>
      </c>
      <c r="I17" s="48">
        <f t="shared" si="0"/>
        <v>6.6658827057105804E-6</v>
      </c>
      <c r="J17" s="48">
        <f t="shared" si="1"/>
        <v>4.3464197630695832E-2</v>
      </c>
      <c r="K17" s="75">
        <f t="shared" si="8"/>
        <v>3.1984451080395768</v>
      </c>
      <c r="L17" s="48">
        <f t="shared" si="2"/>
        <v>8.6668476471573552E-2</v>
      </c>
      <c r="M17" s="59">
        <f t="shared" si="3"/>
        <v>9.8401421354515226E-2</v>
      </c>
      <c r="N17" s="59">
        <f t="shared" si="4"/>
        <v>0.17615924142410538</v>
      </c>
      <c r="O17" s="61">
        <f t="shared" si="5"/>
        <v>0.27456066277862062</v>
      </c>
      <c r="P17" s="76">
        <f t="shared" si="6"/>
        <v>0.33995168521863356</v>
      </c>
      <c r="Q17" s="59">
        <f t="shared" si="7"/>
        <v>0.32610482594222073</v>
      </c>
      <c r="R17" s="53">
        <v>5</v>
      </c>
      <c r="S17" s="81">
        <v>5</v>
      </c>
    </row>
    <row r="18" spans="1:19" x14ac:dyDescent="0.25">
      <c r="A18" s="10" t="s">
        <v>34</v>
      </c>
      <c r="B18" s="6" t="s">
        <v>108</v>
      </c>
      <c r="C18" s="6" t="s">
        <v>64</v>
      </c>
      <c r="D18" s="46">
        <v>4621800</v>
      </c>
      <c r="E18" s="50">
        <v>2525</v>
      </c>
      <c r="F18" s="47">
        <v>76.8</v>
      </c>
      <c r="G18" s="74">
        <v>40.619999999999997</v>
      </c>
      <c r="H18" s="47">
        <v>135.26</v>
      </c>
      <c r="I18" s="48">
        <f t="shared" si="0"/>
        <v>1.6616902505517329E-5</v>
      </c>
      <c r="J18" s="48">
        <f t="shared" si="1"/>
        <v>3.0415841584158415E-2</v>
      </c>
      <c r="K18" s="75">
        <f t="shared" si="8"/>
        <v>1.6087128712871286</v>
      </c>
      <c r="L18" s="48">
        <f t="shared" si="2"/>
        <v>5.3568316831683165E-2</v>
      </c>
      <c r="M18" s="59">
        <f t="shared" si="3"/>
        <v>0.32305617004101661</v>
      </c>
      <c r="N18" s="59">
        <f t="shared" si="4"/>
        <v>0.1195124772598152</v>
      </c>
      <c r="O18" s="61">
        <f t="shared" si="5"/>
        <v>0.44256864730083179</v>
      </c>
      <c r="P18" s="76">
        <f t="shared" si="6"/>
        <v>0.16496389762923261</v>
      </c>
      <c r="Q18" s="59">
        <f t="shared" si="7"/>
        <v>0.19591715965593606</v>
      </c>
      <c r="R18" s="53">
        <v>2</v>
      </c>
      <c r="S18" s="81">
        <v>2</v>
      </c>
    </row>
    <row r="19" spans="1:19" x14ac:dyDescent="0.25">
      <c r="A19" s="10" t="s">
        <v>45</v>
      </c>
      <c r="B19" s="6" t="s">
        <v>108</v>
      </c>
      <c r="C19" s="6" t="s">
        <v>64</v>
      </c>
      <c r="D19" s="46">
        <v>4701400</v>
      </c>
      <c r="E19" s="50">
        <v>2838</v>
      </c>
      <c r="F19" s="47">
        <v>54</v>
      </c>
      <c r="G19" s="74">
        <v>20.88</v>
      </c>
      <c r="H19" s="47">
        <v>71.63</v>
      </c>
      <c r="I19" s="48">
        <f t="shared" si="0"/>
        <v>1.1485940358191178E-5</v>
      </c>
      <c r="J19" s="48">
        <f t="shared" si="1"/>
        <v>1.9027484143763214E-2</v>
      </c>
      <c r="K19" s="75">
        <f t="shared" si="8"/>
        <v>0.73572938689217759</v>
      </c>
      <c r="L19" s="48">
        <f t="shared" si="2"/>
        <v>2.5239605355884424E-2</v>
      </c>
      <c r="M19" s="59">
        <f t="shared" si="3"/>
        <v>0.20721929754781807</v>
      </c>
      <c r="N19" s="59">
        <f t="shared" si="4"/>
        <v>7.007225690991932E-2</v>
      </c>
      <c r="O19" s="61">
        <f t="shared" si="5"/>
        <v>0.2772915544577374</v>
      </c>
      <c r="P19" s="76">
        <f t="shared" si="6"/>
        <v>6.8871332475981109E-2</v>
      </c>
      <c r="Q19" s="59">
        <f t="shared" si="7"/>
        <v>8.4496282051252009E-2</v>
      </c>
      <c r="R19" s="53">
        <v>5</v>
      </c>
      <c r="S19" s="81">
        <v>5</v>
      </c>
    </row>
    <row r="20" spans="1:19" x14ac:dyDescent="0.25">
      <c r="A20" s="4" t="s">
        <v>26</v>
      </c>
      <c r="B20" s="7" t="s">
        <v>107</v>
      </c>
      <c r="C20" s="7" t="s">
        <v>65</v>
      </c>
      <c r="D20" s="46">
        <v>5609654</v>
      </c>
      <c r="E20" s="50">
        <v>603</v>
      </c>
      <c r="F20" s="47">
        <v>27.9</v>
      </c>
      <c r="G20" s="74">
        <v>10.48</v>
      </c>
      <c r="H20" s="47">
        <v>36.6</v>
      </c>
      <c r="I20" s="48">
        <f t="shared" si="0"/>
        <v>4.9735687798213573E-6</v>
      </c>
      <c r="J20" s="48">
        <f t="shared" si="1"/>
        <v>4.6268656716417909E-2</v>
      </c>
      <c r="K20" s="75">
        <f t="shared" si="8"/>
        <v>1.7379767827529022</v>
      </c>
      <c r="L20" s="48">
        <f t="shared" si="2"/>
        <v>6.0696517412935323E-2</v>
      </c>
      <c r="M20" s="59">
        <f t="shared" si="3"/>
        <v>6.019565276317012E-2</v>
      </c>
      <c r="N20" s="59">
        <f t="shared" si="4"/>
        <v>0.18833422591032781</v>
      </c>
      <c r="O20" s="61">
        <f t="shared" si="5"/>
        <v>0.24852987867349793</v>
      </c>
      <c r="P20" s="76">
        <f t="shared" si="6"/>
        <v>0.17919246100589023</v>
      </c>
      <c r="Q20" s="59">
        <f t="shared" si="7"/>
        <v>0.22395339297293132</v>
      </c>
      <c r="R20" s="53">
        <v>5</v>
      </c>
      <c r="S20" s="81">
        <v>5</v>
      </c>
    </row>
    <row r="21" spans="1:19" x14ac:dyDescent="0.25">
      <c r="A21" s="4" t="s">
        <v>25</v>
      </c>
      <c r="B21" s="7" t="s">
        <v>107</v>
      </c>
      <c r="C21" s="7" t="s">
        <v>65</v>
      </c>
      <c r="D21" s="46">
        <v>5842259</v>
      </c>
      <c r="E21" s="50">
        <v>662</v>
      </c>
      <c r="F21" s="47">
        <v>154.4</v>
      </c>
      <c r="G21" s="74">
        <v>60.87</v>
      </c>
      <c r="H21" s="47">
        <v>170.8</v>
      </c>
      <c r="I21" s="48">
        <f t="shared" si="0"/>
        <v>2.6428133364166158E-5</v>
      </c>
      <c r="J21" s="48">
        <f t="shared" si="1"/>
        <v>0.23323262839879155</v>
      </c>
      <c r="K21" s="75">
        <f t="shared" si="8"/>
        <v>9.194864048338367</v>
      </c>
      <c r="L21" s="48">
        <f t="shared" si="2"/>
        <v>0.25800604229607255</v>
      </c>
      <c r="M21" s="59">
        <f t="shared" si="3"/>
        <v>0.54455503620725665</v>
      </c>
      <c r="N21" s="59">
        <f t="shared" si="4"/>
        <v>1</v>
      </c>
      <c r="O21" s="61">
        <f t="shared" si="5"/>
        <v>1.5445550362072566</v>
      </c>
      <c r="P21" s="76">
        <f t="shared" si="6"/>
        <v>1</v>
      </c>
      <c r="Q21" s="59">
        <f t="shared" si="7"/>
        <v>1</v>
      </c>
      <c r="R21" s="53">
        <v>1</v>
      </c>
      <c r="S21" s="81">
        <v>1</v>
      </c>
    </row>
    <row r="22" spans="1:19" x14ac:dyDescent="0.25">
      <c r="A22" s="10" t="s">
        <v>47</v>
      </c>
      <c r="B22" s="6" t="s">
        <v>108</v>
      </c>
      <c r="C22" s="6" t="s">
        <v>65</v>
      </c>
      <c r="D22" s="46">
        <v>6257300</v>
      </c>
      <c r="E22" s="50">
        <v>3303</v>
      </c>
      <c r="F22" s="47">
        <v>84.25</v>
      </c>
      <c r="G22" s="74">
        <v>24.66</v>
      </c>
      <c r="H22" s="47">
        <v>90.09</v>
      </c>
      <c r="I22" s="48">
        <f t="shared" si="0"/>
        <v>1.3464273728285362E-5</v>
      </c>
      <c r="J22" s="48">
        <f t="shared" si="1"/>
        <v>2.5507114744171965E-2</v>
      </c>
      <c r="K22" s="75">
        <f t="shared" si="8"/>
        <v>0.74659400544959131</v>
      </c>
      <c r="L22" s="48">
        <f t="shared" si="2"/>
        <v>2.7275204359673025E-2</v>
      </c>
      <c r="M22" s="59">
        <f t="shared" si="3"/>
        <v>0.25188225622118537</v>
      </c>
      <c r="N22" s="59">
        <f t="shared" si="4"/>
        <v>9.8202245483497125E-2</v>
      </c>
      <c r="O22" s="61">
        <f t="shared" si="5"/>
        <v>0.35008450170468253</v>
      </c>
      <c r="P22" s="76">
        <f t="shared" si="6"/>
        <v>7.0067241774674299E-2</v>
      </c>
      <c r="Q22" s="59">
        <f t="shared" si="7"/>
        <v>9.2502584337436439E-2</v>
      </c>
      <c r="R22" s="53">
        <v>5</v>
      </c>
      <c r="S22" s="81">
        <v>5</v>
      </c>
    </row>
    <row r="23" spans="1:19" x14ac:dyDescent="0.25">
      <c r="A23" s="10" t="s">
        <v>51</v>
      </c>
      <c r="B23" s="6" t="s">
        <v>108</v>
      </c>
      <c r="C23" s="6" t="s">
        <v>65</v>
      </c>
      <c r="D23" s="46">
        <v>8282700</v>
      </c>
      <c r="E23" s="50">
        <v>1909</v>
      </c>
      <c r="F23" s="47">
        <v>142.6</v>
      </c>
      <c r="G23" s="74">
        <v>70.66</v>
      </c>
      <c r="H23" s="47">
        <v>230.6</v>
      </c>
      <c r="I23" s="48">
        <f t="shared" si="0"/>
        <v>1.7216608110881718E-5</v>
      </c>
      <c r="J23" s="48">
        <f t="shared" si="1"/>
        <v>7.4698795180722893E-2</v>
      </c>
      <c r="K23" s="75">
        <f t="shared" si="8"/>
        <v>3.7014143530644312</v>
      </c>
      <c r="L23" s="48">
        <f t="shared" si="2"/>
        <v>0.12079622839182817</v>
      </c>
      <c r="M23" s="59">
        <f t="shared" si="3"/>
        <v>0.33659515546858448</v>
      </c>
      <c r="N23" s="59">
        <f t="shared" si="4"/>
        <v>0.31175784670989692</v>
      </c>
      <c r="O23" s="61">
        <f t="shared" si="5"/>
        <v>0.64835300217848135</v>
      </c>
      <c r="P23" s="76">
        <f t="shared" si="6"/>
        <v>0.39531539577168062</v>
      </c>
      <c r="Q23" s="59">
        <f t="shared" si="7"/>
        <v>0.46033415977119602</v>
      </c>
      <c r="R23" s="53">
        <v>2</v>
      </c>
      <c r="S23" s="81">
        <v>7</v>
      </c>
    </row>
    <row r="24" spans="1:19" x14ac:dyDescent="0.25">
      <c r="A24" s="10" t="s">
        <v>42</v>
      </c>
      <c r="B24" s="6" t="s">
        <v>108</v>
      </c>
      <c r="C24" s="6" t="s">
        <v>65</v>
      </c>
      <c r="D24" s="46">
        <v>8705600</v>
      </c>
      <c r="E24" s="50">
        <v>3874</v>
      </c>
      <c r="F24" s="47">
        <v>256.2</v>
      </c>
      <c r="G24" s="74">
        <v>98.89</v>
      </c>
      <c r="H24" s="47">
        <v>338.42</v>
      </c>
      <c r="I24" s="48">
        <f t="shared" si="0"/>
        <v>2.9429332843227347E-5</v>
      </c>
      <c r="J24" s="48">
        <f t="shared" si="1"/>
        <v>6.6133195663396996E-2</v>
      </c>
      <c r="K24" s="75">
        <f t="shared" si="8"/>
        <v>2.5526587506453278</v>
      </c>
      <c r="L24" s="48">
        <f t="shared" si="2"/>
        <v>8.7356737222509043E-2</v>
      </c>
      <c r="M24" s="59">
        <f t="shared" si="3"/>
        <v>0.61231027419197492</v>
      </c>
      <c r="N24" s="59">
        <f t="shared" si="4"/>
        <v>0.27457205149912961</v>
      </c>
      <c r="O24" s="61">
        <f t="shared" si="5"/>
        <v>0.88688232569110448</v>
      </c>
      <c r="P24" s="76">
        <f t="shared" si="6"/>
        <v>0.26886755965124415</v>
      </c>
      <c r="Q24" s="59">
        <f t="shared" si="7"/>
        <v>0.3288118540029783</v>
      </c>
      <c r="R24" s="53">
        <v>2</v>
      </c>
      <c r="S24" s="81">
        <v>4</v>
      </c>
    </row>
    <row r="25" spans="1:19" x14ac:dyDescent="0.25">
      <c r="A25" s="4" t="s">
        <v>24</v>
      </c>
      <c r="B25" s="7" t="s">
        <v>107</v>
      </c>
      <c r="C25" s="7" t="s">
        <v>65</v>
      </c>
      <c r="D25" s="46">
        <v>9752000</v>
      </c>
      <c r="E25" s="50">
        <v>798.6</v>
      </c>
      <c r="F25" s="47">
        <v>22.5</v>
      </c>
      <c r="G25" s="74">
        <v>15.48</v>
      </c>
      <c r="H25" s="47">
        <v>53.8</v>
      </c>
      <c r="I25" s="48">
        <f t="shared" si="0"/>
        <v>2.3072190319934373E-6</v>
      </c>
      <c r="J25" s="48">
        <f t="shared" si="1"/>
        <v>2.8174305033809164E-2</v>
      </c>
      <c r="K25" s="75">
        <f t="shared" si="8"/>
        <v>1.9383921863260707</v>
      </c>
      <c r="L25" s="48">
        <f t="shared" si="2"/>
        <v>6.7367893814174795E-2</v>
      </c>
      <c r="M25" s="59">
        <f t="shared" si="3"/>
        <v>0</v>
      </c>
      <c r="N25" s="59">
        <f t="shared" si="4"/>
        <v>0.1097813056179312</v>
      </c>
      <c r="O25" s="61">
        <f t="shared" si="5"/>
        <v>0.1097813056179312</v>
      </c>
      <c r="P25" s="76">
        <f t="shared" si="6"/>
        <v>0.20125293588293508</v>
      </c>
      <c r="Q25" s="59">
        <f t="shared" si="7"/>
        <v>0.25019287139369567</v>
      </c>
      <c r="R25" s="53">
        <v>5</v>
      </c>
      <c r="S25" s="81">
        <v>5</v>
      </c>
    </row>
    <row r="26" spans="1:19" x14ac:dyDescent="0.25">
      <c r="A26" s="4" t="s">
        <v>23</v>
      </c>
      <c r="B26" s="7" t="s">
        <v>107</v>
      </c>
      <c r="C26" s="7" t="s">
        <v>66</v>
      </c>
      <c r="D26" s="46">
        <v>12156624</v>
      </c>
      <c r="E26" s="50">
        <v>900</v>
      </c>
      <c r="F26" s="47">
        <v>161.30000000000001</v>
      </c>
      <c r="G26" s="74">
        <v>20.18</v>
      </c>
      <c r="H26" s="47">
        <v>63.6</v>
      </c>
      <c r="I26" s="48">
        <f t="shared" si="0"/>
        <v>1.3268486382403536E-5</v>
      </c>
      <c r="J26" s="48">
        <f t="shared" si="1"/>
        <v>0.17922222222222223</v>
      </c>
      <c r="K26" s="75">
        <f t="shared" si="8"/>
        <v>2.2422222222222223</v>
      </c>
      <c r="L26" s="48">
        <f t="shared" si="2"/>
        <v>7.0666666666666669E-2</v>
      </c>
      <c r="M26" s="59">
        <f t="shared" si="3"/>
        <v>0.24746215075762948</v>
      </c>
      <c r="N26" s="59">
        <f t="shared" si="4"/>
        <v>0.7655248883315432</v>
      </c>
      <c r="O26" s="61">
        <f t="shared" si="5"/>
        <v>1.0129870390891726</v>
      </c>
      <c r="P26" s="76">
        <f t="shared" si="6"/>
        <v>0.23469664706620078</v>
      </c>
      <c r="Q26" s="59">
        <f t="shared" si="7"/>
        <v>0.26316741725530862</v>
      </c>
      <c r="R26" s="53">
        <v>7</v>
      </c>
      <c r="S26" s="81">
        <v>7</v>
      </c>
    </row>
    <row r="27" spans="1:19" x14ac:dyDescent="0.25">
      <c r="A27" s="10" t="s">
        <v>44</v>
      </c>
      <c r="B27" s="6" t="s">
        <v>108</v>
      </c>
      <c r="C27" s="6" t="s">
        <v>66</v>
      </c>
      <c r="D27" s="46">
        <v>14390000</v>
      </c>
      <c r="E27" s="50">
        <v>11917</v>
      </c>
      <c r="F27" s="47">
        <v>256.2</v>
      </c>
      <c r="G27" s="74">
        <v>107.9</v>
      </c>
      <c r="H27" s="47">
        <v>231.58</v>
      </c>
      <c r="I27" s="48">
        <f t="shared" si="0"/>
        <v>1.7804030576789436E-5</v>
      </c>
      <c r="J27" s="48">
        <f t="shared" si="1"/>
        <v>2.149869933708148E-2</v>
      </c>
      <c r="K27" s="75">
        <f t="shared" si="8"/>
        <v>0.90542921876311155</v>
      </c>
      <c r="L27" s="48">
        <f t="shared" si="2"/>
        <v>1.9432743140052028E-2</v>
      </c>
      <c r="M27" s="59">
        <f t="shared" si="3"/>
        <v>0.3498568360908928</v>
      </c>
      <c r="N27" s="59">
        <f t="shared" si="4"/>
        <v>8.0800531319036015E-2</v>
      </c>
      <c r="O27" s="61">
        <f t="shared" si="5"/>
        <v>0.43065736740992883</v>
      </c>
      <c r="P27" s="76">
        <f t="shared" si="6"/>
        <v>8.7550829215665205E-2</v>
      </c>
      <c r="Q27" s="59">
        <f t="shared" si="7"/>
        <v>6.1657061680418561E-2</v>
      </c>
      <c r="R27" s="53">
        <v>2</v>
      </c>
      <c r="S27" s="81">
        <v>2</v>
      </c>
    </row>
    <row r="28" spans="1:19" x14ac:dyDescent="0.25">
      <c r="A28" s="10" t="s">
        <v>43</v>
      </c>
      <c r="B28" s="6" t="s">
        <v>108</v>
      </c>
      <c r="C28" s="6" t="s">
        <v>66</v>
      </c>
      <c r="D28" s="46">
        <v>14657500</v>
      </c>
      <c r="E28" s="50">
        <v>3240</v>
      </c>
      <c r="F28" s="47">
        <v>439.7</v>
      </c>
      <c r="G28" s="74">
        <v>142.80000000000001</v>
      </c>
      <c r="H28" s="47">
        <v>448.32</v>
      </c>
      <c r="I28" s="48">
        <f t="shared" si="0"/>
        <v>2.9998294388538289E-5</v>
      </c>
      <c r="J28" s="48">
        <f t="shared" si="1"/>
        <v>0.13570987654320987</v>
      </c>
      <c r="K28" s="75">
        <f t="shared" si="8"/>
        <v>4.4074074074074074</v>
      </c>
      <c r="L28" s="48">
        <f t="shared" si="2"/>
        <v>0.13837037037037037</v>
      </c>
      <c r="M28" s="59">
        <f t="shared" si="3"/>
        <v>0.62515518009564885</v>
      </c>
      <c r="N28" s="59">
        <f t="shared" si="4"/>
        <v>0.57662495525773916</v>
      </c>
      <c r="O28" s="61">
        <f t="shared" si="5"/>
        <v>1.2017801353533879</v>
      </c>
      <c r="P28" s="76">
        <f t="shared" si="6"/>
        <v>0.4730266982016626</v>
      </c>
      <c r="Q28" s="59">
        <f t="shared" si="7"/>
        <v>0.52945577598276705</v>
      </c>
      <c r="R28" s="53">
        <v>4</v>
      </c>
      <c r="S28" s="81">
        <v>4</v>
      </c>
    </row>
    <row r="29" spans="1:19" x14ac:dyDescent="0.25">
      <c r="A29" s="4" t="s">
        <v>22</v>
      </c>
      <c r="B29" s="7" t="s">
        <v>107</v>
      </c>
      <c r="C29" s="7" t="s">
        <v>66</v>
      </c>
      <c r="D29" s="46">
        <v>15769937.907311</v>
      </c>
      <c r="E29" s="50">
        <v>3883</v>
      </c>
      <c r="F29" s="47">
        <v>57</v>
      </c>
      <c r="G29" s="74">
        <v>39.28</v>
      </c>
      <c r="H29" s="47">
        <v>73.400000000000006</v>
      </c>
      <c r="I29" s="48">
        <f t="shared" si="0"/>
        <v>3.6144720629226192E-6</v>
      </c>
      <c r="J29" s="48">
        <f t="shared" si="1"/>
        <v>1.4679371619881535E-2</v>
      </c>
      <c r="K29" s="75">
        <f t="shared" si="8"/>
        <v>1.0115889775946434</v>
      </c>
      <c r="L29" s="48">
        <f t="shared" si="2"/>
        <v>1.8902910121040433E-2</v>
      </c>
      <c r="M29" s="59">
        <f t="shared" si="3"/>
        <v>2.9512613484978283E-2</v>
      </c>
      <c r="N29" s="59">
        <f t="shared" si="4"/>
        <v>5.1195817316942137E-2</v>
      </c>
      <c r="O29" s="61">
        <f t="shared" si="5"/>
        <v>8.0708430801920417E-2</v>
      </c>
      <c r="P29" s="76">
        <f t="shared" si="6"/>
        <v>9.9236231888824217E-2</v>
      </c>
      <c r="Q29" s="59">
        <f t="shared" si="7"/>
        <v>5.9573152568892451E-2</v>
      </c>
      <c r="R29" s="53">
        <v>5</v>
      </c>
      <c r="S29" s="81">
        <v>5</v>
      </c>
    </row>
    <row r="30" spans="1:19" x14ac:dyDescent="0.25">
      <c r="A30" s="4" t="s">
        <v>20</v>
      </c>
      <c r="B30" s="7" t="s">
        <v>107</v>
      </c>
      <c r="C30" s="7" t="s">
        <v>66</v>
      </c>
      <c r="D30" s="46">
        <v>20392950</v>
      </c>
      <c r="E30" s="50">
        <v>2608.5744249999998</v>
      </c>
      <c r="F30" s="47">
        <v>225.1</v>
      </c>
      <c r="G30" s="74">
        <v>72.81</v>
      </c>
      <c r="H30" s="47">
        <v>206.8</v>
      </c>
      <c r="I30" s="48">
        <f t="shared" si="0"/>
        <v>1.1038128372795501E-5</v>
      </c>
      <c r="J30" s="48">
        <f t="shared" si="1"/>
        <v>8.6292343374485089E-2</v>
      </c>
      <c r="K30" s="75">
        <f t="shared" si="8"/>
        <v>2.7911797072839892</v>
      </c>
      <c r="L30" s="48">
        <f t="shared" si="2"/>
        <v>7.9277017369362587E-2</v>
      </c>
      <c r="M30" s="59">
        <f t="shared" si="3"/>
        <v>0.19710947050880215</v>
      </c>
      <c r="N30" s="59">
        <f t="shared" si="4"/>
        <v>0.36208886067189372</v>
      </c>
      <c r="O30" s="61">
        <f t="shared" si="5"/>
        <v>0.55919833118069584</v>
      </c>
      <c r="P30" s="76">
        <f t="shared" si="6"/>
        <v>0.29512245562112832</v>
      </c>
      <c r="Q30" s="59">
        <f t="shared" si="7"/>
        <v>0.29703315917576556</v>
      </c>
      <c r="R30" s="53">
        <v>5</v>
      </c>
      <c r="S30" s="81">
        <v>7</v>
      </c>
    </row>
    <row r="31" spans="1:19" x14ac:dyDescent="0.25">
      <c r="A31" s="4" t="s">
        <v>21</v>
      </c>
      <c r="B31" s="7" t="s">
        <v>107</v>
      </c>
      <c r="C31" s="7" t="s">
        <v>66</v>
      </c>
      <c r="D31" s="46">
        <v>20935204</v>
      </c>
      <c r="E31" s="50">
        <v>2209</v>
      </c>
      <c r="F31" s="47">
        <v>288.10000000000002</v>
      </c>
      <c r="G31" s="74">
        <v>42.33</v>
      </c>
      <c r="H31" s="47">
        <v>126.1</v>
      </c>
      <c r="I31" s="48">
        <f t="shared" si="0"/>
        <v>1.3761509082978127E-5</v>
      </c>
      <c r="J31" s="48">
        <f t="shared" si="1"/>
        <v>0.1304210049796288</v>
      </c>
      <c r="K31" s="75">
        <f t="shared" si="8"/>
        <v>1.9162516976007242</v>
      </c>
      <c r="L31" s="48">
        <f t="shared" si="2"/>
        <v>5.7084653689452237E-2</v>
      </c>
      <c r="M31" s="59">
        <f t="shared" si="3"/>
        <v>0.2585926572908871</v>
      </c>
      <c r="N31" s="59">
        <f t="shared" si="4"/>
        <v>0.55366440305569375</v>
      </c>
      <c r="O31" s="61">
        <f t="shared" si="5"/>
        <v>0.81225706034658085</v>
      </c>
      <c r="P31" s="76">
        <f t="shared" si="6"/>
        <v>0.19881584927889726</v>
      </c>
      <c r="Q31" s="59">
        <f t="shared" si="7"/>
        <v>0.20974741589547724</v>
      </c>
      <c r="R31" s="53">
        <v>7</v>
      </c>
      <c r="S31" s="81">
        <v>7</v>
      </c>
    </row>
    <row r="32" spans="1:19" x14ac:dyDescent="0.25">
      <c r="A32" s="10" t="s">
        <v>33</v>
      </c>
      <c r="B32" s="6" t="s">
        <v>108</v>
      </c>
      <c r="C32" s="6" t="s">
        <v>66</v>
      </c>
      <c r="D32" s="46">
        <v>21883000</v>
      </c>
      <c r="E32" s="50">
        <v>16411</v>
      </c>
      <c r="F32" s="47">
        <v>721.6</v>
      </c>
      <c r="G32" s="74">
        <v>188.41</v>
      </c>
      <c r="H32" s="47">
        <v>623.36</v>
      </c>
      <c r="I32" s="48">
        <f t="shared" si="0"/>
        <v>3.2975369007905682E-5</v>
      </c>
      <c r="J32" s="48">
        <f t="shared" si="1"/>
        <v>4.3970507586374996E-2</v>
      </c>
      <c r="K32" s="75">
        <f t="shared" si="8"/>
        <v>1.1480714155139844</v>
      </c>
      <c r="L32" s="48">
        <f t="shared" si="2"/>
        <v>3.798427883736518E-2</v>
      </c>
      <c r="M32" s="59">
        <f t="shared" si="3"/>
        <v>0.69236577397346732</v>
      </c>
      <c r="N32" s="59">
        <f t="shared" si="4"/>
        <v>0.17835728235363696</v>
      </c>
      <c r="O32" s="61">
        <f t="shared" si="5"/>
        <v>0.87072305632710423</v>
      </c>
      <c r="P32" s="76">
        <f t="shared" si="6"/>
        <v>0.11425936553622489</v>
      </c>
      <c r="Q32" s="59">
        <f t="shared" si="7"/>
        <v>0.13462290730580542</v>
      </c>
      <c r="R32" s="53">
        <v>2</v>
      </c>
      <c r="S32" s="81">
        <v>2</v>
      </c>
    </row>
    <row r="33" spans="1:19" x14ac:dyDescent="0.25">
      <c r="A33" s="10" t="s">
        <v>41</v>
      </c>
      <c r="B33" s="6" t="s">
        <v>108</v>
      </c>
      <c r="C33" s="6" t="s">
        <v>66</v>
      </c>
      <c r="D33" s="46">
        <v>24152700</v>
      </c>
      <c r="E33" s="50">
        <v>6341</v>
      </c>
      <c r="F33" s="47">
        <v>940.2</v>
      </c>
      <c r="G33" s="74">
        <v>135.63</v>
      </c>
      <c r="H33" s="47">
        <v>438.85</v>
      </c>
      <c r="I33" s="48">
        <f t="shared" si="0"/>
        <v>3.8927324895353319E-5</v>
      </c>
      <c r="J33" s="48">
        <f t="shared" si="1"/>
        <v>0.14827314303737582</v>
      </c>
      <c r="K33" s="75">
        <f t="shared" si="8"/>
        <v>2.1389370761709507</v>
      </c>
      <c r="L33" s="48">
        <f t="shared" si="2"/>
        <v>6.920832676234033E-2</v>
      </c>
      <c r="M33" s="59">
        <f t="shared" si="3"/>
        <v>0.82673744451457698</v>
      </c>
      <c r="N33" s="59">
        <f t="shared" si="4"/>
        <v>0.63116580252539167</v>
      </c>
      <c r="O33" s="61">
        <f t="shared" si="5"/>
        <v>1.4579032470399687</v>
      </c>
      <c r="P33" s="76">
        <f t="shared" si="6"/>
        <v>0.22332766379938249</v>
      </c>
      <c r="Q33" s="59">
        <f t="shared" si="7"/>
        <v>0.25743155764429926</v>
      </c>
      <c r="R33" s="53">
        <v>4</v>
      </c>
      <c r="S33" s="81">
        <v>4</v>
      </c>
    </row>
    <row r="34" spans="1:19" x14ac:dyDescent="0.25">
      <c r="D34" s="46"/>
      <c r="N34" s="61"/>
      <c r="Q34" s="61"/>
      <c r="R34" s="78"/>
    </row>
    <row r="36" spans="1:19" x14ac:dyDescent="0.25">
      <c r="F36" s="47"/>
      <c r="G36" s="74"/>
      <c r="P36" s="78"/>
      <c r="R36" s="76"/>
    </row>
    <row r="37" spans="1:19" x14ac:dyDescent="0.25">
      <c r="P37" s="78"/>
      <c r="R37" s="76"/>
    </row>
    <row r="39" spans="1:19" x14ac:dyDescent="0.25">
      <c r="O39" s="80">
        <f>+(O41-O42)/3</f>
        <v>0.49200835943430904</v>
      </c>
      <c r="P39" s="77">
        <f>+(P41-P42)/3</f>
        <v>0.33333333333333331</v>
      </c>
      <c r="Q39" s="49">
        <f>+(Q41-Q42)/3</f>
        <v>0.33333333333333331</v>
      </c>
      <c r="R39" s="77"/>
    </row>
    <row r="41" spans="1:19" x14ac:dyDescent="0.25">
      <c r="A41" s="45" t="s">
        <v>120</v>
      </c>
      <c r="D41" s="46">
        <f t="shared" ref="D41:L41" si="9">+MIN(D2:D33)</f>
        <v>1771384</v>
      </c>
      <c r="E41" s="46">
        <f t="shared" si="9"/>
        <v>172.65299999999999</v>
      </c>
      <c r="F41" s="46">
        <f t="shared" si="9"/>
        <v>20.3</v>
      </c>
      <c r="G41" s="46">
        <f t="shared" si="9"/>
        <v>7</v>
      </c>
      <c r="H41" s="46">
        <f t="shared" si="9"/>
        <v>26.2</v>
      </c>
      <c r="I41" s="49">
        <f t="shared" si="9"/>
        <v>2.3072190319934373E-6</v>
      </c>
      <c r="J41" s="49">
        <f t="shared" si="9"/>
        <v>2.8866194247603168E-3</v>
      </c>
      <c r="K41" s="49">
        <f t="shared" si="9"/>
        <v>0.11004585243851606</v>
      </c>
      <c r="L41" s="49">
        <f t="shared" si="9"/>
        <v>3.756461025427261E-3</v>
      </c>
      <c r="M41" s="61">
        <f t="shared" ref="M41:N41" si="10">+MAX(M2:M33)</f>
        <v>1</v>
      </c>
      <c r="N41" s="61">
        <f t="shared" si="10"/>
        <v>1</v>
      </c>
      <c r="O41" s="61">
        <f>+MAX(O2:O33)</f>
        <v>1.5445550362072566</v>
      </c>
      <c r="P41" s="79">
        <f>+MAX(P2:P33)</f>
        <v>1</v>
      </c>
      <c r="Q41" s="59">
        <f>+MAX(Q2:Q33)</f>
        <v>1</v>
      </c>
      <c r="R41" s="79"/>
    </row>
    <row r="42" spans="1:19" x14ac:dyDescent="0.25">
      <c r="A42" s="45" t="s">
        <v>121</v>
      </c>
      <c r="D42" s="46">
        <f t="shared" ref="D42:L42" si="11">+MAX(D2:D33)</f>
        <v>24152700</v>
      </c>
      <c r="E42" s="46">
        <f t="shared" si="11"/>
        <v>16411</v>
      </c>
      <c r="F42" s="46">
        <f t="shared" si="11"/>
        <v>940.2</v>
      </c>
      <c r="G42" s="46">
        <f t="shared" si="11"/>
        <v>188.41</v>
      </c>
      <c r="H42" s="46">
        <f t="shared" si="11"/>
        <v>623.36</v>
      </c>
      <c r="I42" s="49">
        <f t="shared" si="11"/>
        <v>4.6601941747572818E-5</v>
      </c>
      <c r="J42" s="49">
        <f t="shared" si="11"/>
        <v>0.23323262839879155</v>
      </c>
      <c r="K42" s="49">
        <f t="shared" si="11"/>
        <v>9.194864048338367</v>
      </c>
      <c r="L42" s="49">
        <f t="shared" si="11"/>
        <v>0.25800604229607255</v>
      </c>
      <c r="M42" s="61">
        <f t="shared" ref="M42:N42" si="12">+MIN(M2:M33)</f>
        <v>0</v>
      </c>
      <c r="N42" s="61">
        <f t="shared" si="12"/>
        <v>0</v>
      </c>
      <c r="O42" s="61">
        <f>+MIN(O2:O33)</f>
        <v>6.8529957904329586E-2</v>
      </c>
      <c r="P42" s="79">
        <f>+MIN(P2:P33)</f>
        <v>0</v>
      </c>
      <c r="Q42" s="59">
        <f>+MIN(Q2:Q33)</f>
        <v>0</v>
      </c>
      <c r="R42" s="79"/>
    </row>
    <row r="43" spans="1:19" x14ac:dyDescent="0.25">
      <c r="P43" s="79"/>
      <c r="R43" s="79"/>
    </row>
    <row r="44" spans="1:19" x14ac:dyDescent="0.25">
      <c r="O44" s="62">
        <f>+O42+O39</f>
        <v>0.56053831733863868</v>
      </c>
      <c r="P44" s="52">
        <f>+P42+P39</f>
        <v>0.33333333333333331</v>
      </c>
      <c r="Q44" s="62">
        <f>+Q42+Q39</f>
        <v>0.33333333333333331</v>
      </c>
    </row>
    <row r="45" spans="1:19" x14ac:dyDescent="0.25">
      <c r="O45" s="62">
        <f>+O44+O39</f>
        <v>1.0525466767729477</v>
      </c>
      <c r="P45" s="52">
        <f>+P44+P44</f>
        <v>0.66666666666666663</v>
      </c>
      <c r="Q45" s="62">
        <f>+Q44+Q44</f>
        <v>0.66666666666666663</v>
      </c>
    </row>
    <row r="46" spans="1:19" x14ac:dyDescent="0.25">
      <c r="O46" s="62">
        <f>+O45+O39</f>
        <v>1.5445550362072566</v>
      </c>
      <c r="P46" s="78">
        <f>+P45+P39</f>
        <v>1</v>
      </c>
      <c r="Q46" s="62">
        <f>+Q45+Q39</f>
        <v>1</v>
      </c>
    </row>
    <row r="47" spans="1:19" x14ac:dyDescent="0.25">
      <c r="P47" s="78"/>
    </row>
    <row r="48" spans="1:19" x14ac:dyDescent="0.25">
      <c r="P48" s="78"/>
    </row>
    <row r="49" spans="15:15" x14ac:dyDescent="0.25">
      <c r="O49" s="61">
        <v>0.56053831733863868</v>
      </c>
    </row>
    <row r="50" spans="15:15" x14ac:dyDescent="0.25">
      <c r="O50" s="61">
        <v>1.0525466767729477</v>
      </c>
    </row>
    <row r="51" spans="15:15" x14ac:dyDescent="0.25">
      <c r="O51" s="61">
        <v>1.5445550362072566</v>
      </c>
    </row>
  </sheetData>
  <sortState xmlns:xlrd2="http://schemas.microsoft.com/office/spreadsheetml/2017/richdata2" ref="A2:S33">
    <sortCondition ref="D2:D3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A431A9D-28B4-4E0C-8422-AC1ED5C24AC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F1CA914-7589-4960-8EAB-76714E64408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SELECCIONADO</vt:lpstr>
      <vt:lpstr>TABLE</vt:lpstr>
      <vt:lpstr>Sheet2</vt:lpstr>
      <vt:lpstr>Sheet3</vt:lpstr>
      <vt:lpstr>Sheet7</vt:lpstr>
      <vt:lpstr>NORMALIZATION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Liendro</dc:creator>
  <cp:lastModifiedBy>Franklin Liendro</cp:lastModifiedBy>
  <cp:lastPrinted>2025-04-11T04:05:12Z</cp:lastPrinted>
  <dcterms:created xsi:type="dcterms:W3CDTF">2024-06-07T09:20:44Z</dcterms:created>
  <dcterms:modified xsi:type="dcterms:W3CDTF">2025-12-05T04:04:45Z</dcterms:modified>
</cp:coreProperties>
</file>